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45" windowWidth="19425" windowHeight="10365" tabRatio="908"/>
  </bookViews>
  <sheets>
    <sheet name="ETC passive &amp; AP" sheetId="11" r:id="rId1"/>
    <sheet name="ETC repetitive firing" sheetId="13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13" l="1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K24" i="13"/>
  <c r="L24" i="13"/>
  <c r="K25" i="13"/>
  <c r="L25" i="13"/>
  <c r="K26" i="13"/>
  <c r="L26" i="13"/>
  <c r="K27" i="13"/>
  <c r="L27" i="13"/>
  <c r="K28" i="13"/>
  <c r="L28" i="13"/>
  <c r="K29" i="13"/>
  <c r="L29" i="13"/>
  <c r="K30" i="13"/>
  <c r="L30" i="13"/>
  <c r="K31" i="13"/>
  <c r="L31" i="13"/>
  <c r="K32" i="13"/>
  <c r="L32" i="13"/>
  <c r="K33" i="13"/>
  <c r="L33" i="13"/>
  <c r="K34" i="13"/>
  <c r="L34" i="13"/>
  <c r="K35" i="13"/>
  <c r="L35" i="13"/>
  <c r="K36" i="13"/>
  <c r="L36" i="13"/>
  <c r="K44" i="13"/>
  <c r="L44" i="13"/>
  <c r="K45" i="13"/>
  <c r="L45" i="13"/>
  <c r="K46" i="13"/>
  <c r="L46" i="13"/>
  <c r="K47" i="13"/>
  <c r="L47" i="13"/>
  <c r="K48" i="13"/>
  <c r="L48" i="13"/>
  <c r="K49" i="13"/>
  <c r="L49" i="13"/>
  <c r="K50" i="13"/>
  <c r="L50" i="13"/>
  <c r="K51" i="13"/>
  <c r="L51" i="13"/>
  <c r="K52" i="13"/>
  <c r="L52" i="13"/>
  <c r="K53" i="13"/>
  <c r="L53" i="13"/>
  <c r="K54" i="13"/>
  <c r="L54" i="13"/>
  <c r="K55" i="13"/>
  <c r="L55" i="13"/>
  <c r="K56" i="13"/>
  <c r="L56" i="13"/>
  <c r="K57" i="13"/>
  <c r="L57" i="13"/>
  <c r="K58" i="13"/>
  <c r="L58" i="13"/>
  <c r="K59" i="13"/>
  <c r="L59" i="13"/>
  <c r="K60" i="13"/>
  <c r="L60" i="13"/>
  <c r="K61" i="13"/>
  <c r="L61" i="13"/>
  <c r="K62" i="13"/>
  <c r="L62" i="13"/>
  <c r="K63" i="13"/>
  <c r="L63" i="13"/>
  <c r="K64" i="13"/>
  <c r="L64" i="13"/>
  <c r="K65" i="13"/>
  <c r="L65" i="13"/>
  <c r="K66" i="13"/>
  <c r="L66" i="13"/>
  <c r="K67" i="13"/>
  <c r="L67" i="13"/>
  <c r="K68" i="13"/>
  <c r="L68" i="13"/>
  <c r="K69" i="13"/>
  <c r="L69" i="13"/>
  <c r="K70" i="13"/>
  <c r="L70" i="13"/>
  <c r="K71" i="13"/>
  <c r="L71" i="13"/>
  <c r="K72" i="13"/>
  <c r="L72" i="13"/>
  <c r="K73" i="13"/>
  <c r="L73" i="13"/>
  <c r="R113" i="11" l="1"/>
  <c r="R112" i="11"/>
  <c r="R111" i="11"/>
  <c r="R110" i="11"/>
  <c r="R109" i="11"/>
  <c r="R108" i="11"/>
  <c r="R106" i="11"/>
  <c r="R105" i="11"/>
  <c r="R104" i="11"/>
  <c r="R103" i="11"/>
  <c r="R102" i="11"/>
  <c r="R100" i="11"/>
  <c r="R99" i="11"/>
  <c r="R98" i="11"/>
  <c r="R97" i="11"/>
  <c r="R95" i="11"/>
  <c r="R93" i="11"/>
  <c r="R92" i="11"/>
  <c r="R91" i="11"/>
  <c r="R90" i="11"/>
  <c r="R88" i="11"/>
  <c r="R87" i="11"/>
  <c r="R86" i="11"/>
  <c r="R85" i="11"/>
  <c r="R84" i="11"/>
  <c r="R83" i="11"/>
  <c r="R82" i="11"/>
  <c r="R81" i="11"/>
  <c r="R80" i="11"/>
  <c r="R79" i="11"/>
  <c r="R78" i="11"/>
  <c r="R75" i="11"/>
  <c r="R74" i="11"/>
  <c r="R73" i="11"/>
  <c r="R72" i="11"/>
  <c r="R70" i="11"/>
  <c r="R69" i="11"/>
  <c r="R68" i="11"/>
  <c r="R67" i="11"/>
  <c r="R66" i="11"/>
  <c r="R65" i="11"/>
  <c r="R64" i="11"/>
  <c r="R63" i="11"/>
  <c r="R62" i="11"/>
  <c r="R61" i="11"/>
  <c r="R60" i="11"/>
  <c r="R59" i="11"/>
  <c r="R58" i="11"/>
  <c r="R57" i="11"/>
  <c r="R55" i="11"/>
  <c r="R54" i="11"/>
  <c r="R53" i="11"/>
  <c r="R52" i="11"/>
  <c r="R51" i="11"/>
  <c r="R49" i="11"/>
  <c r="R48" i="11"/>
  <c r="R47" i="11"/>
  <c r="R46" i="11"/>
  <c r="R45" i="11"/>
  <c r="R43" i="11"/>
  <c r="R42" i="11"/>
  <c r="R41" i="11"/>
  <c r="R39" i="11"/>
  <c r="R38" i="11"/>
  <c r="R37" i="11"/>
  <c r="R36" i="11"/>
  <c r="R34" i="11"/>
  <c r="R33" i="11"/>
  <c r="R32" i="11"/>
  <c r="R31" i="11"/>
  <c r="R30" i="11"/>
  <c r="R29" i="11"/>
  <c r="R27" i="11"/>
  <c r="R26" i="11"/>
  <c r="R25" i="11"/>
  <c r="R23" i="11"/>
  <c r="R21" i="11"/>
  <c r="R20" i="11"/>
  <c r="R19" i="11"/>
  <c r="R18" i="11"/>
  <c r="R15" i="11"/>
  <c r="R14" i="11"/>
  <c r="R13" i="11"/>
  <c r="R12" i="11"/>
  <c r="R11" i="11"/>
  <c r="R10" i="11"/>
  <c r="R9" i="11"/>
  <c r="R8" i="11"/>
  <c r="R7" i="11"/>
  <c r="R6" i="11"/>
  <c r="R5" i="11"/>
  <c r="R4" i="11"/>
</calcChain>
</file>

<file path=xl/sharedStrings.xml><?xml version="1.0" encoding="utf-8"?>
<sst xmlns="http://schemas.openxmlformats.org/spreadsheetml/2006/main" count="1617" uniqueCount="181">
  <si>
    <t>Rm</t>
  </si>
  <si>
    <t>Rs</t>
  </si>
  <si>
    <t>Vthresh</t>
  </si>
  <si>
    <t>Vmax</t>
  </si>
  <si>
    <t>WHH</t>
  </si>
  <si>
    <t>20160315F</t>
  </si>
  <si>
    <t>20160406A</t>
  </si>
  <si>
    <t>Control</t>
  </si>
  <si>
    <t>20160406B</t>
  </si>
  <si>
    <t>20160406C</t>
  </si>
  <si>
    <t>20160406E</t>
  </si>
  <si>
    <t>20160406F</t>
  </si>
  <si>
    <t>20160406H</t>
  </si>
  <si>
    <t>20160229A</t>
  </si>
  <si>
    <t>20160229B</t>
  </si>
  <si>
    <t>20160229D</t>
  </si>
  <si>
    <t>20160407A</t>
  </si>
  <si>
    <t>20160407B</t>
  </si>
  <si>
    <t>20160407C</t>
  </si>
  <si>
    <t>20160407D</t>
  </si>
  <si>
    <t>20160407E</t>
  </si>
  <si>
    <t>20160407H</t>
  </si>
  <si>
    <t>20160405A</t>
  </si>
  <si>
    <t>20160405C</t>
  </si>
  <si>
    <t>20160405E</t>
  </si>
  <si>
    <t>20160405G</t>
  </si>
  <si>
    <t>20160405H</t>
  </si>
  <si>
    <t>20160225A</t>
  </si>
  <si>
    <t>20160225B</t>
  </si>
  <si>
    <t>20160324B</t>
  </si>
  <si>
    <t>20160324C</t>
  </si>
  <si>
    <t>20160324D</t>
  </si>
  <si>
    <t>20160324E</t>
  </si>
  <si>
    <t>20160324G</t>
  </si>
  <si>
    <t>20160324H</t>
  </si>
  <si>
    <t>20160302A</t>
  </si>
  <si>
    <t>20160302C</t>
  </si>
  <si>
    <t>20160302D</t>
  </si>
  <si>
    <t>20160224A</t>
  </si>
  <si>
    <t>20160224B</t>
  </si>
  <si>
    <t>20160224D</t>
  </si>
  <si>
    <t>20160224E</t>
  </si>
  <si>
    <t>20160412A</t>
  </si>
  <si>
    <t>20160412B</t>
  </si>
  <si>
    <t>20160412C</t>
  </si>
  <si>
    <t>20160412E</t>
  </si>
  <si>
    <t>20160412F</t>
  </si>
  <si>
    <t>20160412G</t>
  </si>
  <si>
    <t>20160412H</t>
  </si>
  <si>
    <t>20160412I</t>
  </si>
  <si>
    <t>20160413A</t>
  </si>
  <si>
    <t>20160413B</t>
  </si>
  <si>
    <t>20160413D</t>
  </si>
  <si>
    <t>20160413E</t>
  </si>
  <si>
    <t>20160413F</t>
  </si>
  <si>
    <t>20160317A</t>
  </si>
  <si>
    <t>20160317B</t>
  </si>
  <si>
    <t>20160317E</t>
  </si>
  <si>
    <t>20160317F</t>
  </si>
  <si>
    <t>20160317G</t>
  </si>
  <si>
    <t>20160223B</t>
  </si>
  <si>
    <t>20160223C</t>
  </si>
  <si>
    <t>20160411A</t>
  </si>
  <si>
    <t>20160411E</t>
  </si>
  <si>
    <t>20160309C</t>
  </si>
  <si>
    <t>20160309I</t>
  </si>
  <si>
    <t>20160303B</t>
  </si>
  <si>
    <t>20160303D</t>
  </si>
  <si>
    <t>20160303F</t>
  </si>
  <si>
    <t>20160307B</t>
  </si>
  <si>
    <t>20160315C</t>
  </si>
  <si>
    <t>20160315E</t>
  </si>
  <si>
    <t>20160215A</t>
  </si>
  <si>
    <t>20160215D</t>
  </si>
  <si>
    <t>20160215F</t>
  </si>
  <si>
    <t>20160216F</t>
  </si>
  <si>
    <t>20160218A</t>
  </si>
  <si>
    <t>20160218B</t>
  </si>
  <si>
    <t>20160218C</t>
  </si>
  <si>
    <t>20160310A</t>
  </si>
  <si>
    <t>20160307D</t>
  </si>
  <si>
    <t>Occluded</t>
  </si>
  <si>
    <t>Date</t>
  </si>
  <si>
    <t>Age</t>
  </si>
  <si>
    <t>Cell</t>
  </si>
  <si>
    <t>Genotype</t>
  </si>
  <si>
    <t>Treatment</t>
  </si>
  <si>
    <t>Vrest</t>
  </si>
  <si>
    <t>I hold</t>
  </si>
  <si>
    <t>Cm1</t>
  </si>
  <si>
    <t>Cm mean</t>
  </si>
  <si>
    <t>Spike trace</t>
  </si>
  <si>
    <t>Ithresh pA</t>
  </si>
  <si>
    <t>Ithresh pA/pF</t>
  </si>
  <si>
    <t>VBase</t>
  </si>
  <si>
    <t>AP height</t>
  </si>
  <si>
    <t>max dVdt</t>
  </si>
  <si>
    <t>A</t>
  </si>
  <si>
    <t>P25</t>
  </si>
  <si>
    <t>WT</t>
  </si>
  <si>
    <t>P23</t>
  </si>
  <si>
    <t>B</t>
  </si>
  <si>
    <t>C</t>
  </si>
  <si>
    <t>D</t>
  </si>
  <si>
    <t>F</t>
  </si>
  <si>
    <t>P21</t>
  </si>
  <si>
    <t>P20</t>
  </si>
  <si>
    <t>E</t>
  </si>
  <si>
    <t>P28</t>
  </si>
  <si>
    <t>P24</t>
  </si>
  <si>
    <t>H</t>
  </si>
  <si>
    <t>I</t>
  </si>
  <si>
    <t>P29</t>
  </si>
  <si>
    <t>P31</t>
  </si>
  <si>
    <t>P22</t>
  </si>
  <si>
    <t>G</t>
  </si>
  <si>
    <t>P30</t>
  </si>
  <si>
    <t>P32</t>
  </si>
  <si>
    <t>P27</t>
  </si>
  <si>
    <t>SEM</t>
  </si>
  <si>
    <t>ETCs acute slices patching, 24h naris occlusion</t>
  </si>
  <si>
    <t>control</t>
  </si>
  <si>
    <t>occluded</t>
  </si>
  <si>
    <t>onset rapidness</t>
  </si>
  <si>
    <t>file name</t>
  </si>
  <si>
    <t>16406077, 16406082</t>
  </si>
  <si>
    <t>16406109, 16406116</t>
  </si>
  <si>
    <t>16406138, 16406147</t>
  </si>
  <si>
    <t>16406177, 16406184</t>
  </si>
  <si>
    <t>16407078, 16407093</t>
  </si>
  <si>
    <t>16407102, 16407128</t>
  </si>
  <si>
    <t>16407049, 16407059</t>
  </si>
  <si>
    <t>16405066, 16405079</t>
  </si>
  <si>
    <t>16405142, 16405152</t>
  </si>
  <si>
    <t>16225008, 16225022</t>
  </si>
  <si>
    <t>16225032, 16225041</t>
  </si>
  <si>
    <t>16324008, 16324016</t>
  </si>
  <si>
    <t>16324064, 16324069</t>
  </si>
  <si>
    <t>16324104, 16324107</t>
  </si>
  <si>
    <t>16302008, 16302020, 16302024</t>
  </si>
  <si>
    <t>16302056, 16302065</t>
  </si>
  <si>
    <t>16224067, 16224078</t>
  </si>
  <si>
    <t>16412046, 16412054</t>
  </si>
  <si>
    <t>16412104, 16412120</t>
  </si>
  <si>
    <t>16412134, 16412143</t>
  </si>
  <si>
    <t>16412164, 16412173</t>
  </si>
  <si>
    <t>16412184, 16412197</t>
  </si>
  <si>
    <t>16413017, 16413008, 16413023</t>
  </si>
  <si>
    <t>16413080, 16413089</t>
  </si>
  <si>
    <t>16317006, 16317014</t>
  </si>
  <si>
    <t>16317026, 16317036</t>
  </si>
  <si>
    <t>16317082, 16317095</t>
  </si>
  <si>
    <t>16317108, 16317115</t>
  </si>
  <si>
    <t>16317135, 16317149, 16317141</t>
  </si>
  <si>
    <t>16223010, 16223012, 16223024</t>
  </si>
  <si>
    <t>16223054, 16223064</t>
  </si>
  <si>
    <t>16411015, 16411024, 16411031</t>
  </si>
  <si>
    <t>16411069, 16411080</t>
  </si>
  <si>
    <t>16309032, 16309041</t>
  </si>
  <si>
    <t>16309094, 16309105</t>
  </si>
  <si>
    <t>16303044, 16303048</t>
  </si>
  <si>
    <t>16303069, 16303079</t>
  </si>
  <si>
    <t>16307013, 16307017, 16307023, 16307030</t>
  </si>
  <si>
    <t>16307060, 16307066</t>
  </si>
  <si>
    <t>16315010, 16315017</t>
  </si>
  <si>
    <t>16315053, 16315059, 16315064</t>
  </si>
  <si>
    <t>16315075, 16315085, 16315094</t>
  </si>
  <si>
    <t>16215013, 16215009</t>
  </si>
  <si>
    <t>16215041, 16215043</t>
  </si>
  <si>
    <t>16218042, 16218049</t>
  </si>
  <si>
    <t>16218074, 16218078</t>
  </si>
  <si>
    <t>16310015, 16310023</t>
  </si>
  <si>
    <t>16229008, 16229015</t>
  </si>
  <si>
    <t>Bin no</t>
  </si>
  <si>
    <t>Bin Centre</t>
  </si>
  <si>
    <t>Mean</t>
  </si>
  <si>
    <t>NaN</t>
  </si>
  <si>
    <t xml:space="preserve">   NaN</t>
  </si>
  <si>
    <t xml:space="preserve">       NaN</t>
  </si>
  <si>
    <t>ETC repetitive firing</t>
  </si>
  <si>
    <t>number of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</si>
</sst>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20"/>
      <name val="Calibri"/>
      <family val="2"/>
      <scheme val="minor"/>
    </font>
    <font>
      <i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Fill="1"/>
    <xf numFmtId="0" fontId="4" fillId="0" borderId="0" xfId="2" applyFill="1" applyBorder="1"/>
    <xf numFmtId="0" fontId="0" fillId="0" borderId="0" xfId="0" applyFill="1" applyBorder="1"/>
    <xf numFmtId="0" fontId="3" fillId="0" borderId="0" xfId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8" fillId="0" borderId="0" xfId="0" applyFont="1"/>
  </cellXfs>
  <cellStyles count="3">
    <cellStyle name="Bad" xfId="1" builtinId="27"/>
    <cellStyle name="Check Cell" xfId="2" builtinId="23"/>
    <cellStyle name="Normal" xfId="0" builtinId="0"/>
  </cellStyles>
  <dxfs count="0"/>
  <tableStyles count="0" defaultTableStyle="TableStyleMedium2" defaultPivotStyle="PivotStyleLight16"/>
  <colors>
    <mruColors>
      <color rgb="FFFD8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5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11.140625" bestFit="1" customWidth="1"/>
    <col min="5" max="5" width="13.140625" style="5" bestFit="1" customWidth="1"/>
    <col min="7" max="7" width="9.140625" style="7"/>
    <col min="8" max="8" width="14.85546875" bestFit="1" customWidth="1"/>
    <col min="15" max="15" width="9.85546875" bestFit="1" customWidth="1"/>
    <col min="16" max="16" width="10.7109375" bestFit="1" customWidth="1"/>
    <col min="17" max="17" width="10.140625" bestFit="1" customWidth="1"/>
    <col min="18" max="18" width="13.28515625" bestFit="1" customWidth="1"/>
    <col min="19" max="19" width="11" bestFit="1" customWidth="1"/>
    <col min="21" max="21" width="6" bestFit="1" customWidth="1"/>
    <col min="22" max="22" width="12.85546875" bestFit="1" customWidth="1"/>
    <col min="23" max="23" width="7.140625" bestFit="1" customWidth="1"/>
    <col min="24" max="24" width="12.140625" bestFit="1" customWidth="1"/>
  </cols>
  <sheetData>
    <row r="1" spans="1:34" ht="26.25" x14ac:dyDescent="0.4">
      <c r="A1" s="9" t="s">
        <v>120</v>
      </c>
      <c r="B1" s="1"/>
      <c r="C1" s="1"/>
      <c r="D1" s="1"/>
      <c r="E1" s="1"/>
      <c r="F1" s="4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1"/>
      <c r="W1" s="1"/>
      <c r="X1" s="1"/>
      <c r="Y1" s="1"/>
      <c r="Z1" s="10"/>
      <c r="AA1" s="1"/>
      <c r="AB1" s="1"/>
      <c r="AC1" s="1"/>
      <c r="AD1" s="1"/>
      <c r="AE1" s="1"/>
      <c r="AF1" s="1"/>
      <c r="AH1" s="1"/>
    </row>
    <row r="2" spans="1:34" ht="26.25" x14ac:dyDescent="0.4">
      <c r="A2" s="9"/>
      <c r="B2" s="1"/>
      <c r="C2" s="1"/>
      <c r="D2" s="1"/>
      <c r="E2" s="1"/>
      <c r="F2" s="4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  <c r="U2" s="1"/>
      <c r="V2" s="1"/>
      <c r="W2" s="1"/>
      <c r="X2" s="1"/>
      <c r="Y2" s="1"/>
      <c r="Z2" s="10"/>
      <c r="AA2" s="1"/>
      <c r="AB2" s="1"/>
      <c r="AC2" s="1"/>
      <c r="AD2" s="1"/>
      <c r="AE2" s="1"/>
      <c r="AF2" s="1"/>
      <c r="AH2" s="1"/>
    </row>
    <row r="3" spans="1:34" x14ac:dyDescent="0.25">
      <c r="A3" s="1" t="s">
        <v>82</v>
      </c>
      <c r="B3" s="1" t="s">
        <v>83</v>
      </c>
      <c r="C3" s="1" t="s">
        <v>84</v>
      </c>
      <c r="D3" s="1" t="s">
        <v>85</v>
      </c>
      <c r="E3" s="4" t="s">
        <v>86</v>
      </c>
      <c r="F3" s="1"/>
      <c r="G3" s="8" t="s">
        <v>87</v>
      </c>
      <c r="H3" s="1" t="s">
        <v>124</v>
      </c>
      <c r="I3" s="1" t="s">
        <v>88</v>
      </c>
      <c r="J3" s="1" t="s">
        <v>1</v>
      </c>
      <c r="K3" s="1" t="s">
        <v>0</v>
      </c>
      <c r="L3" s="1" t="s">
        <v>89</v>
      </c>
      <c r="M3" s="1" t="s">
        <v>90</v>
      </c>
      <c r="N3" s="1"/>
      <c r="O3" s="1" t="s">
        <v>124</v>
      </c>
      <c r="P3" s="1" t="s">
        <v>91</v>
      </c>
      <c r="Q3" s="1" t="s">
        <v>92</v>
      </c>
      <c r="R3" s="4" t="s">
        <v>93</v>
      </c>
      <c r="S3" s="1" t="s">
        <v>94</v>
      </c>
      <c r="T3" s="1" t="s">
        <v>2</v>
      </c>
      <c r="U3" s="1" t="s">
        <v>3</v>
      </c>
      <c r="V3" s="1" t="s">
        <v>95</v>
      </c>
      <c r="W3" s="1" t="s">
        <v>4</v>
      </c>
      <c r="X3" s="1" t="s">
        <v>96</v>
      </c>
      <c r="Y3" s="1" t="s">
        <v>123</v>
      </c>
    </row>
    <row r="4" spans="1:34" x14ac:dyDescent="0.25">
      <c r="A4">
        <v>20160216</v>
      </c>
      <c r="B4" t="s">
        <v>105</v>
      </c>
      <c r="C4" t="s">
        <v>104</v>
      </c>
      <c r="D4" t="s">
        <v>99</v>
      </c>
      <c r="E4" s="5" t="s">
        <v>121</v>
      </c>
      <c r="G4" s="7">
        <v>-60</v>
      </c>
      <c r="H4">
        <v>16216062</v>
      </c>
      <c r="I4">
        <v>-12.152799999999999</v>
      </c>
      <c r="J4">
        <v>6.9858000000000002</v>
      </c>
      <c r="K4">
        <v>361.0421</v>
      </c>
      <c r="L4">
        <v>47.405900000000003</v>
      </c>
      <c r="M4">
        <v>46.182766666666659</v>
      </c>
      <c r="O4">
        <v>16216063</v>
      </c>
      <c r="P4">
        <v>12</v>
      </c>
      <c r="Q4">
        <v>110</v>
      </c>
      <c r="R4">
        <f t="shared" ref="R4:R15" si="0">Q4/M4</f>
        <v>2.3818408453947111</v>
      </c>
      <c r="S4">
        <v>-55.7</v>
      </c>
      <c r="T4">
        <v>-29</v>
      </c>
      <c r="U4">
        <v>34.9</v>
      </c>
      <c r="V4">
        <v>63.9</v>
      </c>
      <c r="W4">
        <v>0.4</v>
      </c>
      <c r="X4">
        <v>322.29999999999995</v>
      </c>
    </row>
    <row r="5" spans="1:34" x14ac:dyDescent="0.25">
      <c r="A5">
        <v>20160215</v>
      </c>
      <c r="B5" t="s">
        <v>106</v>
      </c>
      <c r="C5" t="s">
        <v>97</v>
      </c>
      <c r="D5" t="s">
        <v>99</v>
      </c>
      <c r="E5" s="5" t="s">
        <v>121</v>
      </c>
      <c r="G5" s="7">
        <v>-52</v>
      </c>
      <c r="H5">
        <v>16215006</v>
      </c>
      <c r="I5">
        <v>-23.416399999999999</v>
      </c>
      <c r="J5">
        <v>10.5694</v>
      </c>
      <c r="K5">
        <v>200.34020000000001</v>
      </c>
      <c r="L5">
        <v>47.503300000000003</v>
      </c>
      <c r="M5">
        <v>46.32517142857143</v>
      </c>
      <c r="O5">
        <v>16215007</v>
      </c>
      <c r="P5">
        <v>14</v>
      </c>
      <c r="Q5">
        <v>130</v>
      </c>
      <c r="R5">
        <f t="shared" si="0"/>
        <v>2.8062497340230332</v>
      </c>
      <c r="S5">
        <v>-54.1</v>
      </c>
      <c r="T5">
        <v>-36.700000000000003</v>
      </c>
      <c r="U5">
        <v>26.9</v>
      </c>
      <c r="V5">
        <v>63.6</v>
      </c>
      <c r="W5">
        <v>0.5</v>
      </c>
      <c r="X5">
        <v>215.10000000000002</v>
      </c>
      <c r="Y5">
        <v>32.9</v>
      </c>
    </row>
    <row r="6" spans="1:34" x14ac:dyDescent="0.25">
      <c r="A6">
        <v>20160215</v>
      </c>
      <c r="B6" t="s">
        <v>106</v>
      </c>
      <c r="C6" t="s">
        <v>103</v>
      </c>
      <c r="D6" t="s">
        <v>99</v>
      </c>
      <c r="E6" s="5" t="s">
        <v>121</v>
      </c>
      <c r="G6" s="7">
        <v>-53</v>
      </c>
      <c r="H6">
        <v>16215038</v>
      </c>
      <c r="I6">
        <v>23.573599999999999</v>
      </c>
      <c r="J6">
        <v>9.32</v>
      </c>
      <c r="K6">
        <v>220.10149999999999</v>
      </c>
      <c r="L6">
        <v>33.659500000000001</v>
      </c>
      <c r="M6">
        <v>37.083107692307692</v>
      </c>
      <c r="O6">
        <v>16215039</v>
      </c>
      <c r="P6">
        <v>8</v>
      </c>
      <c r="Q6">
        <v>70</v>
      </c>
      <c r="R6">
        <f t="shared" si="0"/>
        <v>1.8876519352373589</v>
      </c>
      <c r="S6">
        <v>-56</v>
      </c>
      <c r="T6">
        <v>-43</v>
      </c>
      <c r="U6">
        <v>29.2</v>
      </c>
      <c r="V6">
        <v>72.099999999999994</v>
      </c>
      <c r="W6">
        <v>1</v>
      </c>
      <c r="X6">
        <v>152.9</v>
      </c>
      <c r="Y6">
        <v>28.1</v>
      </c>
    </row>
    <row r="7" spans="1:34" x14ac:dyDescent="0.25">
      <c r="A7">
        <v>20160215</v>
      </c>
      <c r="B7" t="s">
        <v>106</v>
      </c>
      <c r="C7" t="s">
        <v>104</v>
      </c>
      <c r="D7" t="s">
        <v>99</v>
      </c>
      <c r="E7" s="5" t="s">
        <v>121</v>
      </c>
      <c r="G7" s="7">
        <v>-54</v>
      </c>
      <c r="H7">
        <v>16215053</v>
      </c>
      <c r="I7">
        <v>-23.373999999999999</v>
      </c>
      <c r="J7">
        <v>16.528500000000001</v>
      </c>
      <c r="K7">
        <v>171.8477</v>
      </c>
      <c r="L7">
        <v>39.280799999999999</v>
      </c>
      <c r="M7">
        <v>37.407700000000006</v>
      </c>
      <c r="O7">
        <v>16215054</v>
      </c>
      <c r="P7">
        <v>13</v>
      </c>
      <c r="Q7">
        <v>120</v>
      </c>
      <c r="R7">
        <f t="shared" si="0"/>
        <v>3.2078957006177866</v>
      </c>
      <c r="S7">
        <v>-54.452100000000002</v>
      </c>
      <c r="T7">
        <v>-40.161099999999998</v>
      </c>
      <c r="U7">
        <v>15.4114</v>
      </c>
      <c r="V7">
        <v>55.572499999999998</v>
      </c>
      <c r="W7">
        <v>0.59499999999999997</v>
      </c>
      <c r="X7">
        <v>196.83840000000001</v>
      </c>
      <c r="Y7">
        <v>26.088100000000001</v>
      </c>
    </row>
    <row r="8" spans="1:34" x14ac:dyDescent="0.25">
      <c r="A8">
        <v>20160309</v>
      </c>
      <c r="B8" t="s">
        <v>109</v>
      </c>
      <c r="C8" t="s">
        <v>102</v>
      </c>
      <c r="D8" t="s">
        <v>99</v>
      </c>
      <c r="E8" s="5" t="s">
        <v>121</v>
      </c>
      <c r="G8" s="7">
        <v>-57</v>
      </c>
      <c r="H8">
        <v>16309034</v>
      </c>
      <c r="I8">
        <v>-25.436599999999999</v>
      </c>
      <c r="J8">
        <v>6.5324999999999989</v>
      </c>
      <c r="K8">
        <v>143.19380000000004</v>
      </c>
      <c r="L8">
        <v>58.853999999999999</v>
      </c>
      <c r="M8">
        <v>58.853999999999999</v>
      </c>
      <c r="O8">
        <v>16309035</v>
      </c>
      <c r="P8">
        <v>21</v>
      </c>
      <c r="Q8">
        <v>200</v>
      </c>
      <c r="R8">
        <f t="shared" si="0"/>
        <v>3.3982397118292726</v>
      </c>
      <c r="S8">
        <v>-55.7</v>
      </c>
      <c r="T8">
        <v>-37.799999999999997</v>
      </c>
      <c r="U8">
        <v>24.400000000000002</v>
      </c>
      <c r="V8">
        <v>62.199999999999996</v>
      </c>
      <c r="W8">
        <v>0.4</v>
      </c>
      <c r="X8">
        <v>239.3</v>
      </c>
      <c r="Y8">
        <v>33.099999999999994</v>
      </c>
    </row>
    <row r="9" spans="1:34" x14ac:dyDescent="0.25">
      <c r="A9">
        <v>20160309</v>
      </c>
      <c r="B9" t="s">
        <v>109</v>
      </c>
      <c r="C9" t="s">
        <v>111</v>
      </c>
      <c r="D9" t="s">
        <v>99</v>
      </c>
      <c r="E9" s="5" t="s">
        <v>121</v>
      </c>
      <c r="G9" s="7">
        <v>-59</v>
      </c>
      <c r="H9">
        <v>16309096</v>
      </c>
      <c r="I9">
        <v>-37.475499999999997</v>
      </c>
      <c r="J9">
        <v>9.1841250000000016</v>
      </c>
      <c r="K9">
        <v>207.08350000000002</v>
      </c>
      <c r="L9">
        <v>49.668999999999997</v>
      </c>
      <c r="M9">
        <v>49.668999999999997</v>
      </c>
      <c r="O9">
        <v>16309097</v>
      </c>
      <c r="P9">
        <v>8</v>
      </c>
      <c r="Q9">
        <v>70</v>
      </c>
      <c r="R9">
        <f t="shared" si="0"/>
        <v>1.4093297630312671</v>
      </c>
      <c r="S9">
        <v>-54.699999999999996</v>
      </c>
      <c r="T9">
        <v>-41.5</v>
      </c>
      <c r="U9">
        <v>24.7</v>
      </c>
      <c r="V9">
        <v>66.199999999999989</v>
      </c>
      <c r="W9">
        <v>0.5</v>
      </c>
      <c r="X9">
        <v>231</v>
      </c>
      <c r="Y9">
        <v>36.4</v>
      </c>
    </row>
    <row r="10" spans="1:34" x14ac:dyDescent="0.25">
      <c r="A10">
        <v>20160411</v>
      </c>
      <c r="B10" t="s">
        <v>112</v>
      </c>
      <c r="C10" t="s">
        <v>97</v>
      </c>
      <c r="D10" t="s">
        <v>99</v>
      </c>
      <c r="E10" s="5" t="s">
        <v>121</v>
      </c>
      <c r="G10" s="7">
        <v>-64</v>
      </c>
      <c r="H10">
        <v>16411021</v>
      </c>
      <c r="I10">
        <v>-1.6311176470588238</v>
      </c>
      <c r="J10">
        <v>11.443117647058822</v>
      </c>
      <c r="K10">
        <v>181.55817647058825</v>
      </c>
      <c r="L10">
        <v>41.926176470588231</v>
      </c>
      <c r="M10">
        <v>41.926176470588231</v>
      </c>
      <c r="O10">
        <v>16411022</v>
      </c>
      <c r="P10">
        <v>12</v>
      </c>
      <c r="Q10">
        <v>110</v>
      </c>
      <c r="R10">
        <f t="shared" si="0"/>
        <v>2.6236592329655068</v>
      </c>
      <c r="S10">
        <v>-57</v>
      </c>
      <c r="T10">
        <v>-39.699999999999996</v>
      </c>
      <c r="U10">
        <v>26.8</v>
      </c>
      <c r="V10">
        <v>66.5</v>
      </c>
      <c r="W10">
        <v>0.6</v>
      </c>
      <c r="X10">
        <v>226.1</v>
      </c>
      <c r="Y10">
        <v>36.6</v>
      </c>
    </row>
    <row r="11" spans="1:34" x14ac:dyDescent="0.25">
      <c r="A11">
        <v>20160411</v>
      </c>
      <c r="B11" t="s">
        <v>112</v>
      </c>
      <c r="C11" t="s">
        <v>103</v>
      </c>
      <c r="D11" t="s">
        <v>99</v>
      </c>
      <c r="E11" s="5" t="s">
        <v>121</v>
      </c>
      <c r="G11" s="7">
        <v>-63</v>
      </c>
      <c r="H11">
        <v>16411049</v>
      </c>
      <c r="I11">
        <v>-2.4464999999999999</v>
      </c>
      <c r="J11">
        <v>10.980000000000002</v>
      </c>
      <c r="K11">
        <v>252.46550000000002</v>
      </c>
      <c r="L11">
        <v>30.058333333333334</v>
      </c>
      <c r="M11">
        <v>30.058333333333334</v>
      </c>
      <c r="O11">
        <v>16411050</v>
      </c>
      <c r="P11">
        <v>12</v>
      </c>
      <c r="Q11">
        <v>110</v>
      </c>
      <c r="R11">
        <f t="shared" si="0"/>
        <v>3.6595508733019129</v>
      </c>
      <c r="S11">
        <v>-55.599999999999994</v>
      </c>
      <c r="T11">
        <v>-33.9</v>
      </c>
      <c r="U11">
        <v>30.200000000000003</v>
      </c>
      <c r="V11">
        <v>64.199999999999989</v>
      </c>
      <c r="W11">
        <v>0.6</v>
      </c>
      <c r="X11">
        <v>227.70000000000002</v>
      </c>
      <c r="Y11">
        <v>24.2</v>
      </c>
    </row>
    <row r="12" spans="1:34" x14ac:dyDescent="0.25">
      <c r="A12">
        <v>20160411</v>
      </c>
      <c r="B12" t="s">
        <v>112</v>
      </c>
      <c r="C12" t="s">
        <v>107</v>
      </c>
      <c r="D12" t="s">
        <v>99</v>
      </c>
      <c r="E12" s="5" t="s">
        <v>121</v>
      </c>
      <c r="G12" s="7">
        <v>-69</v>
      </c>
      <c r="H12">
        <v>16411063</v>
      </c>
      <c r="I12">
        <v>-6.4361000000000006</v>
      </c>
      <c r="J12">
        <v>16.625636363636364</v>
      </c>
      <c r="K12">
        <v>419.13927272727273</v>
      </c>
      <c r="L12">
        <v>28.314900000000002</v>
      </c>
      <c r="M12">
        <v>27.253083333333336</v>
      </c>
      <c r="O12">
        <v>16411064</v>
      </c>
      <c r="P12">
        <v>6</v>
      </c>
      <c r="Q12">
        <v>50</v>
      </c>
      <c r="R12">
        <f t="shared" si="0"/>
        <v>1.8346547944116414</v>
      </c>
      <c r="S12">
        <v>-55.300000000000004</v>
      </c>
      <c r="T12">
        <v>-40.800000000000004</v>
      </c>
      <c r="U12">
        <v>22.5</v>
      </c>
      <c r="V12">
        <v>63.2</v>
      </c>
      <c r="W12">
        <v>0.5</v>
      </c>
      <c r="X12">
        <v>187.70000000000002</v>
      </c>
      <c r="Y12">
        <v>31.2</v>
      </c>
    </row>
    <row r="13" spans="1:34" x14ac:dyDescent="0.25">
      <c r="A13">
        <v>20160223</v>
      </c>
      <c r="B13" t="s">
        <v>108</v>
      </c>
      <c r="C13" t="s">
        <v>101</v>
      </c>
      <c r="D13" t="s">
        <v>99</v>
      </c>
      <c r="E13" s="5" t="s">
        <v>121</v>
      </c>
      <c r="G13" s="7">
        <v>-52</v>
      </c>
      <c r="H13">
        <v>16223017</v>
      </c>
      <c r="I13">
        <v>-10.381</v>
      </c>
      <c r="J13">
        <v>11.545</v>
      </c>
      <c r="K13">
        <v>194.798</v>
      </c>
      <c r="L13">
        <v>35.636000000000003</v>
      </c>
      <c r="M13">
        <v>33.413823529411765</v>
      </c>
      <c r="O13">
        <v>16223018</v>
      </c>
      <c r="P13">
        <v>8</v>
      </c>
      <c r="Q13">
        <v>70</v>
      </c>
      <c r="R13">
        <f t="shared" si="0"/>
        <v>2.0949413328404058</v>
      </c>
      <c r="S13">
        <v>-53.400000000000006</v>
      </c>
      <c r="T13">
        <v>-40.4</v>
      </c>
      <c r="U13">
        <v>22.3</v>
      </c>
      <c r="V13">
        <v>62.7</v>
      </c>
      <c r="W13">
        <v>0.5</v>
      </c>
      <c r="X13">
        <v>217.9</v>
      </c>
      <c r="Y13">
        <v>25.4</v>
      </c>
    </row>
    <row r="14" spans="1:34" x14ac:dyDescent="0.25">
      <c r="A14">
        <v>20160223</v>
      </c>
      <c r="B14" t="s">
        <v>108</v>
      </c>
      <c r="C14" t="s">
        <v>102</v>
      </c>
      <c r="D14" t="s">
        <v>99</v>
      </c>
      <c r="E14" s="5" t="s">
        <v>121</v>
      </c>
      <c r="G14" s="7">
        <v>-55</v>
      </c>
      <c r="H14">
        <v>16223048</v>
      </c>
      <c r="I14">
        <v>-9.6489999999999991</v>
      </c>
      <c r="J14">
        <v>5.9989999999999997</v>
      </c>
      <c r="K14">
        <v>245.12299999999999</v>
      </c>
      <c r="L14">
        <v>43.98</v>
      </c>
      <c r="M14">
        <v>42.561</v>
      </c>
      <c r="O14">
        <v>16223049</v>
      </c>
      <c r="P14">
        <v>10</v>
      </c>
      <c r="Q14">
        <v>90</v>
      </c>
      <c r="R14">
        <f t="shared" si="0"/>
        <v>2.114611968703743</v>
      </c>
      <c r="S14">
        <v>-52.2</v>
      </c>
      <c r="T14">
        <v>-38.199999999999996</v>
      </c>
      <c r="U14">
        <v>26.3</v>
      </c>
      <c r="V14">
        <v>64.5</v>
      </c>
      <c r="W14">
        <v>0.5</v>
      </c>
      <c r="X14">
        <v>173.6</v>
      </c>
      <c r="Y14">
        <v>31.5</v>
      </c>
    </row>
    <row r="15" spans="1:34" x14ac:dyDescent="0.25">
      <c r="A15">
        <v>20160223</v>
      </c>
      <c r="B15" t="s">
        <v>108</v>
      </c>
      <c r="C15" t="s">
        <v>102</v>
      </c>
      <c r="D15" t="s">
        <v>99</v>
      </c>
      <c r="E15" s="5" t="s">
        <v>121</v>
      </c>
      <c r="G15" s="7">
        <v>-55</v>
      </c>
      <c r="H15">
        <v>16223061</v>
      </c>
      <c r="I15">
        <v>9.49</v>
      </c>
      <c r="J15">
        <v>6.157</v>
      </c>
      <c r="K15">
        <v>149.404</v>
      </c>
      <c r="L15">
        <v>40.942999999999998</v>
      </c>
      <c r="M15">
        <v>42.561</v>
      </c>
      <c r="O15">
        <v>16223062</v>
      </c>
      <c r="P15">
        <v>12</v>
      </c>
      <c r="Q15">
        <v>110</v>
      </c>
      <c r="R15">
        <f t="shared" si="0"/>
        <v>2.5845257395267969</v>
      </c>
      <c r="S15">
        <v>-54.699999999999996</v>
      </c>
      <c r="T15">
        <v>-39.699999999999996</v>
      </c>
      <c r="U15">
        <v>24.400000000000002</v>
      </c>
      <c r="V15">
        <v>64</v>
      </c>
      <c r="W15">
        <v>0.5</v>
      </c>
      <c r="X15">
        <v>167.8</v>
      </c>
      <c r="Y15">
        <v>33.4</v>
      </c>
    </row>
    <row r="16" spans="1:34" x14ac:dyDescent="0.25">
      <c r="A16">
        <v>20160229</v>
      </c>
      <c r="B16" t="s">
        <v>98</v>
      </c>
      <c r="C16" t="s">
        <v>97</v>
      </c>
      <c r="D16" t="s">
        <v>99</v>
      </c>
      <c r="E16" s="5" t="s">
        <v>121</v>
      </c>
      <c r="G16" s="7">
        <v>-54</v>
      </c>
    </row>
    <row r="17" spans="1:25" x14ac:dyDescent="0.25">
      <c r="A17">
        <v>20160229</v>
      </c>
      <c r="B17" t="s">
        <v>98</v>
      </c>
      <c r="C17" t="s">
        <v>101</v>
      </c>
      <c r="D17" t="s">
        <v>99</v>
      </c>
      <c r="E17" s="5" t="s">
        <v>121</v>
      </c>
      <c r="G17" s="7">
        <v>-52</v>
      </c>
    </row>
    <row r="18" spans="1:25" x14ac:dyDescent="0.25">
      <c r="A18">
        <v>20160229</v>
      </c>
      <c r="B18" t="s">
        <v>98</v>
      </c>
      <c r="C18" t="s">
        <v>103</v>
      </c>
      <c r="D18" t="s">
        <v>99</v>
      </c>
      <c r="E18" s="5" t="s">
        <v>121</v>
      </c>
      <c r="H18">
        <v>16229054</v>
      </c>
      <c r="I18">
        <v>-41.533000000000001</v>
      </c>
      <c r="J18">
        <v>16.207999999999998</v>
      </c>
      <c r="K18">
        <v>205.03899999999999</v>
      </c>
      <c r="L18">
        <v>39.051000000000002</v>
      </c>
      <c r="M18">
        <v>36.970125000000003</v>
      </c>
      <c r="O18">
        <v>16229055</v>
      </c>
      <c r="P18">
        <v>9</v>
      </c>
      <c r="Q18">
        <v>80</v>
      </c>
      <c r="R18">
        <f>Q18/M18</f>
        <v>2.1639093727705814</v>
      </c>
      <c r="S18">
        <v>-53.199999999999996</v>
      </c>
      <c r="T18">
        <v>-39.699999999999996</v>
      </c>
      <c r="U18">
        <v>9.7000000000000011</v>
      </c>
      <c r="V18">
        <v>49.3</v>
      </c>
      <c r="W18">
        <v>0.5</v>
      </c>
      <c r="X18">
        <v>152</v>
      </c>
      <c r="Y18">
        <v>31.8</v>
      </c>
    </row>
    <row r="19" spans="1:25" x14ac:dyDescent="0.25">
      <c r="A19">
        <v>20160224</v>
      </c>
      <c r="B19" t="s">
        <v>112</v>
      </c>
      <c r="C19" t="s">
        <v>97</v>
      </c>
      <c r="D19" t="s">
        <v>99</v>
      </c>
      <c r="E19" s="5" t="s">
        <v>121</v>
      </c>
      <c r="G19" s="7">
        <v>-61</v>
      </c>
      <c r="H19">
        <v>16224012</v>
      </c>
      <c r="I19">
        <v>27.571999999999999</v>
      </c>
      <c r="J19">
        <v>10.044</v>
      </c>
      <c r="K19">
        <v>153.90600000000001</v>
      </c>
      <c r="L19">
        <v>43.523000000000003</v>
      </c>
      <c r="M19">
        <v>48.438749999999999</v>
      </c>
      <c r="O19">
        <v>16224013</v>
      </c>
      <c r="P19">
        <v>11</v>
      </c>
      <c r="Q19">
        <v>101</v>
      </c>
      <c r="R19">
        <f>Q19/M19</f>
        <v>2.0851074810972619</v>
      </c>
      <c r="S19">
        <v>-53.8001</v>
      </c>
      <c r="T19">
        <v>-41.473399999999998</v>
      </c>
      <c r="U19">
        <v>36.682099999999998</v>
      </c>
      <c r="V19">
        <v>78.155500000000004</v>
      </c>
      <c r="W19">
        <v>0.78</v>
      </c>
      <c r="X19">
        <v>256.34769999999997</v>
      </c>
      <c r="Y19">
        <v>11.423299999999999</v>
      </c>
    </row>
    <row r="20" spans="1:25" x14ac:dyDescent="0.25">
      <c r="A20">
        <v>20160224</v>
      </c>
      <c r="B20" t="s">
        <v>112</v>
      </c>
      <c r="C20" s="3" t="s">
        <v>101</v>
      </c>
      <c r="D20" t="s">
        <v>99</v>
      </c>
      <c r="E20" s="5" t="s">
        <v>121</v>
      </c>
      <c r="G20" s="7">
        <v>-53</v>
      </c>
      <c r="H20">
        <v>16224039</v>
      </c>
      <c r="J20">
        <v>7.6858043194220276</v>
      </c>
      <c r="K20">
        <v>327.47500000000002</v>
      </c>
      <c r="M20">
        <v>36.381333333333338</v>
      </c>
      <c r="O20">
        <v>16224040</v>
      </c>
      <c r="P20">
        <v>3</v>
      </c>
      <c r="Q20">
        <v>20</v>
      </c>
      <c r="R20">
        <f>Q20/M20</f>
        <v>0.54973246353441318</v>
      </c>
      <c r="S20">
        <v>-52.1</v>
      </c>
      <c r="T20">
        <v>-39.4</v>
      </c>
      <c r="U20">
        <v>17</v>
      </c>
      <c r="V20">
        <v>56.4</v>
      </c>
      <c r="W20">
        <v>0.5</v>
      </c>
      <c r="X20">
        <v>206</v>
      </c>
      <c r="Y20">
        <v>27.3</v>
      </c>
    </row>
    <row r="21" spans="1:25" x14ac:dyDescent="0.25">
      <c r="A21">
        <v>20160224</v>
      </c>
      <c r="B21" t="s">
        <v>112</v>
      </c>
      <c r="C21" s="3" t="s">
        <v>101</v>
      </c>
      <c r="D21" t="s">
        <v>99</v>
      </c>
      <c r="E21" s="5" t="s">
        <v>121</v>
      </c>
      <c r="G21" s="7">
        <v>-53</v>
      </c>
      <c r="H21">
        <v>16224045</v>
      </c>
      <c r="J21">
        <v>8.2687680362502807</v>
      </c>
      <c r="K21">
        <v>288.56099999999998</v>
      </c>
      <c r="M21">
        <v>36.381333333333338</v>
      </c>
      <c r="O21">
        <v>16224046</v>
      </c>
      <c r="P21">
        <v>6</v>
      </c>
      <c r="Q21">
        <v>50</v>
      </c>
      <c r="R21">
        <f>Q21/M21</f>
        <v>1.374331158836033</v>
      </c>
      <c r="S21">
        <v>-55.599999999999994</v>
      </c>
      <c r="T21">
        <v>-43</v>
      </c>
      <c r="U21">
        <v>17.399999999999999</v>
      </c>
      <c r="V21">
        <v>60.3</v>
      </c>
      <c r="W21">
        <v>0.5</v>
      </c>
      <c r="X21">
        <v>239</v>
      </c>
      <c r="Y21">
        <v>31</v>
      </c>
    </row>
    <row r="22" spans="1:25" x14ac:dyDescent="0.25">
      <c r="A22">
        <v>20160224</v>
      </c>
      <c r="B22" t="s">
        <v>112</v>
      </c>
      <c r="C22" s="3" t="s">
        <v>103</v>
      </c>
      <c r="D22" t="s">
        <v>99</v>
      </c>
      <c r="E22" s="5" t="s">
        <v>121</v>
      </c>
      <c r="G22" s="7">
        <v>-69</v>
      </c>
    </row>
    <row r="23" spans="1:25" x14ac:dyDescent="0.25">
      <c r="A23">
        <v>20160224</v>
      </c>
      <c r="B23" t="s">
        <v>112</v>
      </c>
      <c r="C23" s="3" t="s">
        <v>107</v>
      </c>
      <c r="D23" t="s">
        <v>99</v>
      </c>
      <c r="E23" s="5" t="s">
        <v>121</v>
      </c>
      <c r="G23" s="7">
        <v>-58</v>
      </c>
      <c r="H23">
        <v>16224102</v>
      </c>
      <c r="I23">
        <v>7.0670000000000002</v>
      </c>
      <c r="J23">
        <v>11.983000000000001</v>
      </c>
      <c r="K23">
        <v>152.96899999999999</v>
      </c>
      <c r="L23">
        <v>51.74</v>
      </c>
      <c r="M23">
        <v>50.40384615384616</v>
      </c>
      <c r="O23">
        <v>16224103</v>
      </c>
      <c r="P23">
        <v>15</v>
      </c>
      <c r="Q23">
        <v>140</v>
      </c>
      <c r="R23">
        <f>Q23/M23</f>
        <v>2.7775658145745896</v>
      </c>
      <c r="S23">
        <v>-54.699999999999996</v>
      </c>
      <c r="T23">
        <v>-37.5</v>
      </c>
      <c r="U23">
        <v>25</v>
      </c>
      <c r="V23">
        <v>62.5</v>
      </c>
      <c r="W23">
        <v>0.5</v>
      </c>
      <c r="X23">
        <v>214.2</v>
      </c>
      <c r="Y23">
        <v>31.8</v>
      </c>
    </row>
    <row r="24" spans="1:25" x14ac:dyDescent="0.25">
      <c r="A24">
        <v>20160224</v>
      </c>
      <c r="B24" t="s">
        <v>112</v>
      </c>
      <c r="C24" s="3" t="s">
        <v>104</v>
      </c>
      <c r="D24" t="s">
        <v>99</v>
      </c>
      <c r="E24" s="5" t="s">
        <v>121</v>
      </c>
      <c r="G24" s="7">
        <v>-53</v>
      </c>
    </row>
    <row r="25" spans="1:25" x14ac:dyDescent="0.25">
      <c r="A25">
        <v>20160317</v>
      </c>
      <c r="B25" t="s">
        <v>98</v>
      </c>
      <c r="C25" s="3" t="s">
        <v>97</v>
      </c>
      <c r="D25" t="s">
        <v>99</v>
      </c>
      <c r="E25" s="5" t="s">
        <v>121</v>
      </c>
      <c r="H25">
        <v>16317009</v>
      </c>
      <c r="I25">
        <v>-1.677</v>
      </c>
      <c r="J25">
        <v>14.478999999999999</v>
      </c>
      <c r="K25">
        <v>285.49299999999999</v>
      </c>
      <c r="L25">
        <v>41.002000000000002</v>
      </c>
      <c r="M25">
        <v>40.546374999999998</v>
      </c>
      <c r="O25">
        <v>16317010</v>
      </c>
      <c r="P25">
        <v>13</v>
      </c>
      <c r="Q25">
        <v>120</v>
      </c>
      <c r="R25">
        <f>Q25/M25</f>
        <v>2.9595740679653857</v>
      </c>
      <c r="S25">
        <v>-56.2</v>
      </c>
      <c r="T25">
        <v>-37.1</v>
      </c>
      <c r="U25">
        <v>16</v>
      </c>
      <c r="V25">
        <v>53.1</v>
      </c>
      <c r="W25">
        <v>0.5</v>
      </c>
      <c r="X25">
        <v>176.1</v>
      </c>
      <c r="Y25">
        <v>29.5</v>
      </c>
    </row>
    <row r="26" spans="1:25" x14ac:dyDescent="0.25">
      <c r="A26">
        <v>20160317</v>
      </c>
      <c r="B26" t="s">
        <v>98</v>
      </c>
      <c r="C26" s="3" t="s">
        <v>97</v>
      </c>
      <c r="D26" t="s">
        <v>99</v>
      </c>
      <c r="E26" s="5" t="s">
        <v>121</v>
      </c>
      <c r="H26">
        <v>16317017</v>
      </c>
      <c r="I26">
        <v>-7.58</v>
      </c>
      <c r="J26">
        <v>14.728999999999999</v>
      </c>
      <c r="K26">
        <v>256.471</v>
      </c>
      <c r="L26">
        <v>39.793999999999997</v>
      </c>
      <c r="M26">
        <v>40.546374999999998</v>
      </c>
      <c r="O26">
        <v>16317018</v>
      </c>
      <c r="P26">
        <v>11</v>
      </c>
      <c r="Q26">
        <v>100</v>
      </c>
      <c r="R26">
        <f>Q26/M26</f>
        <v>2.466311723304488</v>
      </c>
      <c r="S26">
        <v>-53.8</v>
      </c>
      <c r="T26">
        <v>-38.199999999999996</v>
      </c>
      <c r="U26">
        <v>14.4</v>
      </c>
      <c r="V26">
        <v>52.6</v>
      </c>
      <c r="W26">
        <v>0.6</v>
      </c>
      <c r="X26">
        <v>162</v>
      </c>
      <c r="Y26">
        <v>28.8</v>
      </c>
    </row>
    <row r="27" spans="1:25" x14ac:dyDescent="0.25">
      <c r="A27">
        <v>20160317</v>
      </c>
      <c r="B27" t="s">
        <v>98</v>
      </c>
      <c r="C27" s="3" t="s">
        <v>101</v>
      </c>
      <c r="D27" t="s">
        <v>99</v>
      </c>
      <c r="E27" s="5" t="s">
        <v>121</v>
      </c>
      <c r="G27" s="7">
        <v>-57</v>
      </c>
      <c r="H27">
        <v>16317027</v>
      </c>
      <c r="I27">
        <v>26.114999999999998</v>
      </c>
      <c r="J27">
        <v>7.4</v>
      </c>
      <c r="K27">
        <v>135.80500000000001</v>
      </c>
      <c r="L27">
        <v>64.986999999999995</v>
      </c>
      <c r="M27">
        <v>64.476333333333329</v>
      </c>
      <c r="O27">
        <v>16317028</v>
      </c>
      <c r="P27">
        <v>25</v>
      </c>
      <c r="Q27">
        <v>240</v>
      </c>
      <c r="R27">
        <f>Q27/M27</f>
        <v>3.722296036271707</v>
      </c>
      <c r="S27">
        <v>-54</v>
      </c>
      <c r="T27">
        <v>-36.4</v>
      </c>
      <c r="U27">
        <v>23.2</v>
      </c>
      <c r="V27">
        <v>59.6</v>
      </c>
      <c r="W27">
        <v>0.4</v>
      </c>
      <c r="X27">
        <v>239</v>
      </c>
    </row>
    <row r="28" spans="1:25" x14ac:dyDescent="0.25">
      <c r="A28">
        <v>20160317</v>
      </c>
      <c r="B28" t="s">
        <v>98</v>
      </c>
      <c r="C28" s="3" t="s">
        <v>102</v>
      </c>
      <c r="D28" t="s">
        <v>99</v>
      </c>
      <c r="E28" s="5" t="s">
        <v>121</v>
      </c>
      <c r="G28" s="7">
        <v>-59</v>
      </c>
    </row>
    <row r="29" spans="1:25" x14ac:dyDescent="0.25">
      <c r="A29">
        <v>20160317</v>
      </c>
      <c r="B29" t="s">
        <v>98</v>
      </c>
      <c r="C29" s="3" t="s">
        <v>107</v>
      </c>
      <c r="D29" t="s">
        <v>99</v>
      </c>
      <c r="E29" s="5" t="s">
        <v>121</v>
      </c>
      <c r="G29" s="7">
        <v>-55</v>
      </c>
      <c r="H29">
        <v>16317094</v>
      </c>
      <c r="I29">
        <v>14.489000000000001</v>
      </c>
      <c r="J29">
        <v>14.663</v>
      </c>
      <c r="K29">
        <v>129.74299999999999</v>
      </c>
      <c r="L29">
        <v>62.277000000000001</v>
      </c>
      <c r="M29">
        <v>56.757000000000012</v>
      </c>
      <c r="O29">
        <v>16317097</v>
      </c>
      <c r="P29">
        <v>11</v>
      </c>
      <c r="Q29">
        <v>100</v>
      </c>
      <c r="R29">
        <f t="shared" ref="R29:R34" si="1">Q29/M29</f>
        <v>1.7618972109167148</v>
      </c>
      <c r="S29">
        <v>-53.042700000000004</v>
      </c>
      <c r="T29">
        <v>-42.3889</v>
      </c>
      <c r="U29">
        <v>16.449000000000002</v>
      </c>
      <c r="V29">
        <v>58.837899999999998</v>
      </c>
      <c r="W29">
        <v>0.54</v>
      </c>
      <c r="X29">
        <v>192.26070000000001</v>
      </c>
      <c r="Y29">
        <v>30.4528</v>
      </c>
    </row>
    <row r="30" spans="1:25" x14ac:dyDescent="0.25">
      <c r="A30">
        <v>20160317</v>
      </c>
      <c r="B30" t="s">
        <v>98</v>
      </c>
      <c r="C30" s="3" t="s">
        <v>104</v>
      </c>
      <c r="D30" t="s">
        <v>99</v>
      </c>
      <c r="E30" s="5" t="s">
        <v>121</v>
      </c>
      <c r="H30">
        <v>16317112</v>
      </c>
      <c r="I30">
        <v>116.25</v>
      </c>
      <c r="J30">
        <v>7.07</v>
      </c>
      <c r="K30">
        <v>102.33199999999999</v>
      </c>
      <c r="L30">
        <v>42.546999999999997</v>
      </c>
      <c r="M30">
        <v>40.711666666666666</v>
      </c>
      <c r="O30">
        <v>16317113</v>
      </c>
      <c r="P30">
        <v>21</v>
      </c>
      <c r="Q30">
        <v>200</v>
      </c>
      <c r="R30">
        <f t="shared" si="1"/>
        <v>4.9125967167478608</v>
      </c>
      <c r="S30">
        <v>-55.4</v>
      </c>
      <c r="T30">
        <v>-38.299999999999997</v>
      </c>
      <c r="U30">
        <v>20.299999999999997</v>
      </c>
      <c r="V30">
        <v>58.6</v>
      </c>
      <c r="W30">
        <v>0.5</v>
      </c>
      <c r="X30">
        <v>171.5</v>
      </c>
      <c r="Y30">
        <v>31</v>
      </c>
    </row>
    <row r="31" spans="1:25" x14ac:dyDescent="0.25">
      <c r="A31">
        <v>20160317</v>
      </c>
      <c r="B31" t="s">
        <v>98</v>
      </c>
      <c r="C31" s="3" t="s">
        <v>115</v>
      </c>
      <c r="D31" t="s">
        <v>99</v>
      </c>
      <c r="E31" s="5" t="s">
        <v>121</v>
      </c>
      <c r="G31" s="7">
        <v>-45</v>
      </c>
      <c r="H31">
        <v>16317146</v>
      </c>
      <c r="I31">
        <v>-17.122</v>
      </c>
      <c r="J31">
        <v>20.132999999999999</v>
      </c>
      <c r="K31">
        <v>304.99400000000003</v>
      </c>
      <c r="L31">
        <v>41.029000000000003</v>
      </c>
      <c r="M31">
        <v>41.745249999999999</v>
      </c>
      <c r="O31">
        <v>16317147</v>
      </c>
      <c r="P31">
        <v>11</v>
      </c>
      <c r="Q31">
        <v>100</v>
      </c>
      <c r="R31">
        <f t="shared" si="1"/>
        <v>2.3954821207203216</v>
      </c>
      <c r="S31">
        <v>-55.599999999999994</v>
      </c>
      <c r="T31">
        <v>-37</v>
      </c>
      <c r="U31">
        <v>16.899999999999999</v>
      </c>
      <c r="V31">
        <v>53.900000000000006</v>
      </c>
      <c r="W31">
        <v>0.6</v>
      </c>
      <c r="X31">
        <v>192.6</v>
      </c>
    </row>
    <row r="32" spans="1:25" x14ac:dyDescent="0.25">
      <c r="A32">
        <v>20160406</v>
      </c>
      <c r="B32" t="s">
        <v>100</v>
      </c>
      <c r="C32" s="3" t="s">
        <v>97</v>
      </c>
      <c r="D32" t="s">
        <v>99</v>
      </c>
      <c r="E32" s="5" t="s">
        <v>121</v>
      </c>
      <c r="G32" s="7">
        <v>-68</v>
      </c>
      <c r="H32">
        <v>16406009</v>
      </c>
      <c r="I32">
        <v>13.513999999999999</v>
      </c>
      <c r="J32">
        <v>12.054</v>
      </c>
      <c r="K32">
        <v>931.47799999999995</v>
      </c>
      <c r="L32">
        <v>24.728000000000002</v>
      </c>
      <c r="M32">
        <v>22.062833333333337</v>
      </c>
      <c r="O32">
        <v>16406010</v>
      </c>
      <c r="P32">
        <v>7</v>
      </c>
      <c r="Q32">
        <v>60</v>
      </c>
      <c r="R32">
        <f t="shared" si="1"/>
        <v>2.7195056543055056</v>
      </c>
      <c r="S32">
        <v>-56.599999999999994</v>
      </c>
      <c r="T32">
        <v>-38.4</v>
      </c>
      <c r="U32">
        <v>24.299999999999997</v>
      </c>
      <c r="V32">
        <v>62.7</v>
      </c>
      <c r="W32">
        <v>0.6</v>
      </c>
      <c r="X32">
        <v>195.89999999999998</v>
      </c>
      <c r="Y32">
        <v>26.700000000000003</v>
      </c>
    </row>
    <row r="33" spans="1:30" x14ac:dyDescent="0.25">
      <c r="A33">
        <v>20160406</v>
      </c>
      <c r="B33" t="s">
        <v>100</v>
      </c>
      <c r="C33" s="3" t="s">
        <v>101</v>
      </c>
      <c r="D33" t="s">
        <v>99</v>
      </c>
      <c r="E33" s="5" t="s">
        <v>121</v>
      </c>
      <c r="G33" s="7">
        <v>-58</v>
      </c>
      <c r="H33">
        <v>16406043</v>
      </c>
      <c r="I33">
        <v>-5.306</v>
      </c>
      <c r="J33">
        <v>11.083</v>
      </c>
      <c r="K33">
        <v>530.31299999999999</v>
      </c>
      <c r="L33">
        <v>40.856999999999999</v>
      </c>
      <c r="M33">
        <v>38.351285714285716</v>
      </c>
      <c r="O33">
        <v>16406044</v>
      </c>
      <c r="P33">
        <v>7</v>
      </c>
      <c r="Q33">
        <v>60</v>
      </c>
      <c r="R33">
        <f t="shared" si="1"/>
        <v>1.5644847071619874</v>
      </c>
      <c r="S33">
        <v>-52.3</v>
      </c>
      <c r="T33">
        <v>-39.800000000000004</v>
      </c>
      <c r="U33">
        <v>26.8</v>
      </c>
      <c r="V33">
        <v>66.600000000000009</v>
      </c>
      <c r="W33">
        <v>0.5</v>
      </c>
      <c r="X33">
        <v>208.1</v>
      </c>
      <c r="Y33">
        <v>25.2</v>
      </c>
    </row>
    <row r="34" spans="1:30" x14ac:dyDescent="0.25">
      <c r="A34">
        <v>20160406</v>
      </c>
      <c r="B34" t="s">
        <v>100</v>
      </c>
      <c r="C34" s="3" t="s">
        <v>102</v>
      </c>
      <c r="D34" t="s">
        <v>99</v>
      </c>
      <c r="E34" s="5" t="s">
        <v>121</v>
      </c>
      <c r="G34" s="7">
        <v>-65</v>
      </c>
      <c r="H34">
        <v>16406067</v>
      </c>
      <c r="I34">
        <v>3.4020000000000001</v>
      </c>
      <c r="J34">
        <v>9.1760000000000002</v>
      </c>
      <c r="K34">
        <v>492.303</v>
      </c>
      <c r="L34">
        <v>31.192</v>
      </c>
      <c r="M34">
        <v>29.074909090909092</v>
      </c>
      <c r="O34">
        <v>16406068</v>
      </c>
      <c r="P34">
        <v>8</v>
      </c>
      <c r="Q34">
        <v>70</v>
      </c>
      <c r="R34">
        <f t="shared" si="1"/>
        <v>2.4075741657911851</v>
      </c>
      <c r="S34">
        <v>-56.099999999999994</v>
      </c>
      <c r="T34">
        <v>-40</v>
      </c>
      <c r="U34">
        <v>20.5</v>
      </c>
      <c r="V34">
        <v>60.5</v>
      </c>
      <c r="W34">
        <v>0.6</v>
      </c>
      <c r="X34">
        <v>165.39999999999998</v>
      </c>
      <c r="Y34">
        <v>31.9</v>
      </c>
    </row>
    <row r="35" spans="1:30" x14ac:dyDescent="0.25">
      <c r="A35">
        <v>20160406</v>
      </c>
      <c r="B35" t="s">
        <v>100</v>
      </c>
      <c r="C35" s="3" t="s">
        <v>103</v>
      </c>
      <c r="D35" t="s">
        <v>99</v>
      </c>
      <c r="E35" s="5" t="s">
        <v>121</v>
      </c>
      <c r="G35" s="7">
        <v>-56</v>
      </c>
    </row>
    <row r="36" spans="1:30" x14ac:dyDescent="0.25">
      <c r="A36">
        <v>20160406</v>
      </c>
      <c r="B36" t="s">
        <v>100</v>
      </c>
      <c r="C36" s="3" t="s">
        <v>107</v>
      </c>
      <c r="D36" t="s">
        <v>99</v>
      </c>
      <c r="E36" s="5" t="s">
        <v>121</v>
      </c>
      <c r="G36" s="7">
        <v>-51</v>
      </c>
      <c r="H36">
        <v>16406106</v>
      </c>
      <c r="I36">
        <v>-24.635999999999999</v>
      </c>
      <c r="J36">
        <v>13.047000000000001</v>
      </c>
      <c r="K36">
        <v>350.97699999999998</v>
      </c>
      <c r="L36">
        <v>33.186</v>
      </c>
      <c r="M36">
        <v>33.4542</v>
      </c>
      <c r="O36">
        <v>16406107</v>
      </c>
      <c r="P36">
        <v>8</v>
      </c>
      <c r="Q36">
        <v>70</v>
      </c>
      <c r="R36">
        <f>Q36/M36</f>
        <v>2.0924129107854919</v>
      </c>
      <c r="S36">
        <v>-54.200600000000001</v>
      </c>
      <c r="T36">
        <v>-40.069600000000001</v>
      </c>
      <c r="U36">
        <v>19.775400000000001</v>
      </c>
      <c r="V36">
        <v>59.844999999999999</v>
      </c>
      <c r="W36">
        <v>0.48499999999999999</v>
      </c>
      <c r="X36">
        <v>235.90090000000001</v>
      </c>
      <c r="Y36">
        <v>27.646799999999999</v>
      </c>
    </row>
    <row r="37" spans="1:30" x14ac:dyDescent="0.25">
      <c r="A37">
        <v>20160406</v>
      </c>
      <c r="B37" t="s">
        <v>100</v>
      </c>
      <c r="C37" s="3" t="s">
        <v>104</v>
      </c>
      <c r="D37" t="s">
        <v>99</v>
      </c>
      <c r="E37" s="5" t="s">
        <v>121</v>
      </c>
      <c r="G37" s="7">
        <v>-56</v>
      </c>
      <c r="H37">
        <v>16406135</v>
      </c>
      <c r="I37">
        <v>-2.4430000000000001</v>
      </c>
      <c r="J37">
        <v>9.2240000000000002</v>
      </c>
      <c r="K37">
        <v>221.91900000000001</v>
      </c>
      <c r="L37">
        <v>48.247</v>
      </c>
      <c r="M37">
        <v>45.038769230769233</v>
      </c>
      <c r="O37">
        <v>16406136</v>
      </c>
      <c r="P37">
        <v>13</v>
      </c>
      <c r="Q37">
        <v>121</v>
      </c>
      <c r="R37">
        <f>Q37/M37</f>
        <v>2.686574301798109</v>
      </c>
      <c r="S37">
        <v>-55.4</v>
      </c>
      <c r="T37">
        <v>-38.199999999999996</v>
      </c>
      <c r="U37">
        <v>27.900000000000002</v>
      </c>
      <c r="V37">
        <v>66</v>
      </c>
      <c r="W37">
        <v>0.5</v>
      </c>
      <c r="X37">
        <v>239.6</v>
      </c>
      <c r="Y37">
        <v>33.9</v>
      </c>
    </row>
    <row r="38" spans="1:30" x14ac:dyDescent="0.25">
      <c r="A38">
        <v>20160406</v>
      </c>
      <c r="B38" t="s">
        <v>100</v>
      </c>
      <c r="C38" s="3" t="s">
        <v>115</v>
      </c>
      <c r="D38" t="s">
        <v>99</v>
      </c>
      <c r="E38" s="5" t="s">
        <v>121</v>
      </c>
      <c r="H38">
        <v>16406161</v>
      </c>
      <c r="I38">
        <v>-12.321999999999999</v>
      </c>
      <c r="J38">
        <v>24.023</v>
      </c>
      <c r="K38">
        <v>493.65</v>
      </c>
      <c r="L38">
        <v>31.218</v>
      </c>
      <c r="M38">
        <v>31.266249999999999</v>
      </c>
      <c r="O38">
        <v>16406162</v>
      </c>
      <c r="P38">
        <v>8</v>
      </c>
      <c r="Q38">
        <v>70</v>
      </c>
      <c r="R38">
        <f>Q38/M38</f>
        <v>2.2388358053812016</v>
      </c>
      <c r="S38">
        <v>-56</v>
      </c>
      <c r="T38">
        <v>-38.1</v>
      </c>
      <c r="U38">
        <v>12.3</v>
      </c>
      <c r="V38">
        <v>50.4</v>
      </c>
      <c r="W38">
        <v>0.6</v>
      </c>
      <c r="X38">
        <v>201.7</v>
      </c>
    </row>
    <row r="39" spans="1:30" x14ac:dyDescent="0.25">
      <c r="A39">
        <v>20160406</v>
      </c>
      <c r="B39" t="s">
        <v>100</v>
      </c>
      <c r="C39" s="3" t="s">
        <v>110</v>
      </c>
      <c r="D39" t="s">
        <v>99</v>
      </c>
      <c r="E39" s="5" t="s">
        <v>121</v>
      </c>
      <c r="G39" s="7">
        <v>-52</v>
      </c>
      <c r="H39">
        <v>16406174</v>
      </c>
      <c r="I39">
        <v>-21.419</v>
      </c>
      <c r="J39">
        <v>8.9090000000000007</v>
      </c>
      <c r="K39">
        <v>132.93600000000001</v>
      </c>
      <c r="L39">
        <v>70.900999999999996</v>
      </c>
      <c r="M39">
        <v>69.389699999999991</v>
      </c>
      <c r="O39">
        <v>16406175</v>
      </c>
      <c r="P39">
        <v>18</v>
      </c>
      <c r="Q39">
        <v>170</v>
      </c>
      <c r="R39">
        <f>Q39/M39</f>
        <v>2.4499313298659602</v>
      </c>
      <c r="S39">
        <v>-55.9</v>
      </c>
      <c r="T39">
        <v>-40.700000000000003</v>
      </c>
      <c r="U39">
        <v>28.7</v>
      </c>
      <c r="V39">
        <v>69.400000000000006</v>
      </c>
      <c r="W39">
        <v>0.5</v>
      </c>
      <c r="X39">
        <v>247.20000000000002</v>
      </c>
      <c r="Y39">
        <v>32.599999999999994</v>
      </c>
    </row>
    <row r="40" spans="1:30" x14ac:dyDescent="0.25">
      <c r="A40">
        <v>20160307</v>
      </c>
      <c r="B40" t="s">
        <v>117</v>
      </c>
      <c r="C40" s="3" t="s">
        <v>97</v>
      </c>
      <c r="D40" t="s">
        <v>99</v>
      </c>
      <c r="E40" s="5" t="s">
        <v>121</v>
      </c>
      <c r="G40" s="7">
        <v>-57</v>
      </c>
    </row>
    <row r="41" spans="1:30" x14ac:dyDescent="0.25">
      <c r="A41">
        <v>20160307</v>
      </c>
      <c r="B41" t="s">
        <v>117</v>
      </c>
      <c r="C41" s="3" t="s">
        <v>101</v>
      </c>
      <c r="D41" t="s">
        <v>99</v>
      </c>
      <c r="E41" s="5" t="s">
        <v>121</v>
      </c>
      <c r="G41" s="7">
        <v>-58</v>
      </c>
      <c r="H41">
        <v>16307010</v>
      </c>
      <c r="I41">
        <v>-2.4691000000000001</v>
      </c>
      <c r="J41">
        <v>8.3239000000000001</v>
      </c>
      <c r="K41">
        <v>220.53739999999999</v>
      </c>
      <c r="L41">
        <v>55.023200000000003</v>
      </c>
      <c r="M41">
        <v>51.693392307692299</v>
      </c>
      <c r="O41">
        <v>16307011</v>
      </c>
      <c r="P41">
        <v>13</v>
      </c>
      <c r="Q41">
        <v>121</v>
      </c>
      <c r="R41">
        <f>Q41/M41</f>
        <v>2.3407246961038468</v>
      </c>
      <c r="S41">
        <v>-53.116799999999998</v>
      </c>
      <c r="T41">
        <v>-38.665799999999997</v>
      </c>
      <c r="U41">
        <v>14.0991</v>
      </c>
      <c r="V41">
        <v>52.764899999999997</v>
      </c>
      <c r="W41">
        <v>0.47499999999999998</v>
      </c>
      <c r="X41">
        <v>155.33449999999999</v>
      </c>
      <c r="Y41">
        <v>31.386900000000001</v>
      </c>
    </row>
    <row r="42" spans="1:30" x14ac:dyDescent="0.25">
      <c r="A42">
        <v>20160307</v>
      </c>
      <c r="B42" t="s">
        <v>117</v>
      </c>
      <c r="C42" s="3" t="s">
        <v>103</v>
      </c>
      <c r="D42" t="s">
        <v>99</v>
      </c>
      <c r="E42" s="5" t="s">
        <v>121</v>
      </c>
      <c r="G42" s="7">
        <v>-64</v>
      </c>
      <c r="H42">
        <v>16307055</v>
      </c>
      <c r="I42">
        <v>14.775499999999999</v>
      </c>
      <c r="J42">
        <v>7.9162999999999997</v>
      </c>
      <c r="K42">
        <v>229.65520000000001</v>
      </c>
      <c r="L42">
        <v>49.530299999999997</v>
      </c>
      <c r="M42">
        <v>47.17465</v>
      </c>
      <c r="O42">
        <v>16307056</v>
      </c>
      <c r="P42">
        <v>13</v>
      </c>
      <c r="Q42">
        <v>121</v>
      </c>
      <c r="R42">
        <f>Q42/M42</f>
        <v>2.5649368887739494</v>
      </c>
      <c r="S42">
        <v>-52.699999999999996</v>
      </c>
      <c r="T42">
        <v>-35.9</v>
      </c>
      <c r="U42">
        <v>27.3</v>
      </c>
      <c r="V42">
        <v>63.1</v>
      </c>
      <c r="W42">
        <v>0.4</v>
      </c>
      <c r="X42">
        <v>276.2</v>
      </c>
    </row>
    <row r="43" spans="1:30" x14ac:dyDescent="0.25">
      <c r="A43">
        <v>20160307</v>
      </c>
      <c r="B43" t="s">
        <v>117</v>
      </c>
      <c r="C43" s="3" t="s">
        <v>107</v>
      </c>
      <c r="D43" t="s">
        <v>99</v>
      </c>
      <c r="E43" s="5" t="s">
        <v>121</v>
      </c>
      <c r="G43" s="7">
        <v>-54</v>
      </c>
      <c r="H43">
        <v>16307086</v>
      </c>
      <c r="I43">
        <v>-14.776999999999999</v>
      </c>
      <c r="J43">
        <v>16.5</v>
      </c>
      <c r="K43">
        <v>395.13869999999997</v>
      </c>
      <c r="L43">
        <v>25.0443</v>
      </c>
      <c r="M43">
        <v>23.978071428571429</v>
      </c>
      <c r="O43">
        <v>16307087</v>
      </c>
      <c r="P43">
        <v>5</v>
      </c>
      <c r="Q43">
        <v>40</v>
      </c>
      <c r="R43">
        <f>Q43/M43</f>
        <v>1.6681908767832514</v>
      </c>
      <c r="S43">
        <v>-52.9161</v>
      </c>
      <c r="T43">
        <v>-41.870100000000001</v>
      </c>
      <c r="U43">
        <v>2.9906999999999999</v>
      </c>
      <c r="V43">
        <v>44.860799999999998</v>
      </c>
      <c r="W43">
        <v>0.53</v>
      </c>
      <c r="X43">
        <v>115.0513</v>
      </c>
      <c r="Y43">
        <v>26.6479</v>
      </c>
    </row>
    <row r="45" spans="1:30" x14ac:dyDescent="0.25">
      <c r="A45">
        <v>20160310</v>
      </c>
      <c r="B45" t="s">
        <v>98</v>
      </c>
      <c r="C45" t="s">
        <v>97</v>
      </c>
      <c r="D45" t="s">
        <v>99</v>
      </c>
      <c r="E45" s="6" t="s">
        <v>122</v>
      </c>
      <c r="G45" s="7">
        <v>-65</v>
      </c>
      <c r="H45">
        <v>16310012</v>
      </c>
      <c r="I45">
        <v>-0.74380000000000002</v>
      </c>
      <c r="J45">
        <v>9.1468000000000007</v>
      </c>
      <c r="K45">
        <v>235.35759999999999</v>
      </c>
      <c r="L45">
        <v>33.470100000000002</v>
      </c>
      <c r="M45">
        <v>32.807524999999998</v>
      </c>
      <c r="O45">
        <v>16310013</v>
      </c>
      <c r="P45">
        <v>9</v>
      </c>
      <c r="Q45">
        <v>80</v>
      </c>
      <c r="R45">
        <f>Q45/M45</f>
        <v>2.4384649558294935</v>
      </c>
      <c r="S45">
        <v>-52.3</v>
      </c>
      <c r="T45">
        <v>-39.1</v>
      </c>
      <c r="U45">
        <v>21.3</v>
      </c>
      <c r="V45">
        <v>60.400000000000006</v>
      </c>
      <c r="W45">
        <v>0.5</v>
      </c>
      <c r="X45">
        <v>186.79999999999998</v>
      </c>
      <c r="Y45">
        <v>32.9</v>
      </c>
      <c r="Z45" s="11"/>
      <c r="AA45" s="11"/>
      <c r="AB45" s="11"/>
      <c r="AC45" s="11"/>
      <c r="AD45" s="11"/>
    </row>
    <row r="46" spans="1:30" x14ac:dyDescent="0.25">
      <c r="A46">
        <v>20160218</v>
      </c>
      <c r="B46" t="s">
        <v>100</v>
      </c>
      <c r="C46" t="s">
        <v>97</v>
      </c>
      <c r="D46" t="s">
        <v>99</v>
      </c>
      <c r="E46" s="6" t="s">
        <v>122</v>
      </c>
      <c r="G46" s="7">
        <v>-65</v>
      </c>
      <c r="H46">
        <v>16218014</v>
      </c>
      <c r="I46">
        <v>2.6886000000000001</v>
      </c>
      <c r="J46">
        <v>11.851900000000001</v>
      </c>
      <c r="K46">
        <v>106.62909999999999</v>
      </c>
      <c r="L46">
        <v>62.707900000000002</v>
      </c>
      <c r="M46">
        <v>57.669599999999996</v>
      </c>
      <c r="O46">
        <v>16218015</v>
      </c>
      <c r="P46">
        <v>23</v>
      </c>
      <c r="Q46">
        <v>220</v>
      </c>
      <c r="R46">
        <f>Q46/M46</f>
        <v>3.8148348523312112</v>
      </c>
      <c r="S46">
        <v>-54.4</v>
      </c>
      <c r="T46">
        <v>-38.9</v>
      </c>
      <c r="U46">
        <v>20.7</v>
      </c>
      <c r="V46">
        <v>59.6</v>
      </c>
      <c r="W46">
        <v>0.5</v>
      </c>
      <c r="X46">
        <v>233.5</v>
      </c>
      <c r="Z46" s="11"/>
      <c r="AA46" s="11"/>
      <c r="AB46" s="11"/>
      <c r="AC46" s="11"/>
      <c r="AD46" s="11"/>
    </row>
    <row r="47" spans="1:30" x14ac:dyDescent="0.25">
      <c r="A47">
        <v>20160218</v>
      </c>
      <c r="B47" t="s">
        <v>100</v>
      </c>
      <c r="C47" t="s">
        <v>97</v>
      </c>
      <c r="D47" t="s">
        <v>99</v>
      </c>
      <c r="E47" s="6" t="s">
        <v>122</v>
      </c>
      <c r="G47" s="7">
        <v>-65</v>
      </c>
      <c r="H47">
        <v>16218027</v>
      </c>
      <c r="I47">
        <v>-27.845099999999999</v>
      </c>
      <c r="J47">
        <v>25.118600000000001</v>
      </c>
      <c r="K47">
        <v>105.9926</v>
      </c>
      <c r="L47">
        <v>40.474600000000002</v>
      </c>
      <c r="M47">
        <v>57.669599999999996</v>
      </c>
      <c r="O47">
        <v>16218028</v>
      </c>
      <c r="P47">
        <v>18</v>
      </c>
      <c r="Q47">
        <v>170</v>
      </c>
      <c r="R47">
        <f>Q47/M47</f>
        <v>2.947826931346845</v>
      </c>
      <c r="S47">
        <v>-54.635100000000001</v>
      </c>
      <c r="T47">
        <v>-39.581299999999999</v>
      </c>
      <c r="U47">
        <v>12.7258</v>
      </c>
      <c r="V47">
        <v>52.307099999999998</v>
      </c>
      <c r="W47">
        <v>0.755</v>
      </c>
      <c r="X47">
        <v>156.25</v>
      </c>
      <c r="Z47" s="11"/>
      <c r="AA47" s="11"/>
      <c r="AB47" s="11"/>
      <c r="AC47" s="11"/>
      <c r="AD47" s="11"/>
    </row>
    <row r="48" spans="1:30" x14ac:dyDescent="0.25">
      <c r="A48">
        <v>20160218</v>
      </c>
      <c r="B48" t="s">
        <v>100</v>
      </c>
      <c r="C48" t="s">
        <v>101</v>
      </c>
      <c r="D48" t="s">
        <v>99</v>
      </c>
      <c r="E48" s="6" t="s">
        <v>122</v>
      </c>
      <c r="G48" s="7">
        <v>-51</v>
      </c>
      <c r="H48">
        <v>16218046</v>
      </c>
      <c r="I48">
        <v>29.572500000000002</v>
      </c>
      <c r="J48">
        <v>21.6417</v>
      </c>
      <c r="K48">
        <v>299.92750000000001</v>
      </c>
      <c r="L48">
        <v>23.106300000000001</v>
      </c>
      <c r="M48">
        <v>23.664970000000004</v>
      </c>
      <c r="O48">
        <v>16218047</v>
      </c>
      <c r="P48">
        <v>12</v>
      </c>
      <c r="Q48">
        <v>110</v>
      </c>
      <c r="R48">
        <f>Q48/M48</f>
        <v>4.6482205555299663</v>
      </c>
      <c r="S48">
        <v>-56.241500000000002</v>
      </c>
      <c r="T48">
        <v>-36.468499999999999</v>
      </c>
      <c r="U48">
        <v>13.061500000000001</v>
      </c>
      <c r="V48">
        <v>49.53</v>
      </c>
      <c r="W48">
        <v>0.67</v>
      </c>
      <c r="X48">
        <v>166.32079999999999</v>
      </c>
      <c r="Z48" s="11"/>
      <c r="AA48" s="11"/>
      <c r="AB48" s="11"/>
      <c r="AC48" s="11"/>
      <c r="AD48" s="11"/>
    </row>
    <row r="49" spans="1:30" x14ac:dyDescent="0.25">
      <c r="A49">
        <v>20160218</v>
      </c>
      <c r="B49" t="s">
        <v>100</v>
      </c>
      <c r="C49" t="s">
        <v>102</v>
      </c>
      <c r="D49" t="s">
        <v>99</v>
      </c>
      <c r="E49" s="6" t="s">
        <v>122</v>
      </c>
      <c r="G49" s="7">
        <v>-53</v>
      </c>
      <c r="H49">
        <v>16218075</v>
      </c>
      <c r="I49">
        <v>-32.118899999999996</v>
      </c>
      <c r="J49">
        <v>15.585100000000001</v>
      </c>
      <c r="K49">
        <v>168.2825</v>
      </c>
      <c r="L49">
        <v>43.003700000000002</v>
      </c>
      <c r="M49">
        <v>46.572372727272722</v>
      </c>
      <c r="O49">
        <v>16218076</v>
      </c>
      <c r="P49">
        <v>12</v>
      </c>
      <c r="Q49">
        <v>110</v>
      </c>
      <c r="R49">
        <f>Q49/M49</f>
        <v>2.3619153064019036</v>
      </c>
      <c r="S49">
        <v>-52.699999999999996</v>
      </c>
      <c r="T49">
        <v>-37.799999999999997</v>
      </c>
      <c r="U49">
        <v>22.700000000000003</v>
      </c>
      <c r="V49">
        <v>60.5</v>
      </c>
      <c r="W49">
        <v>0.6</v>
      </c>
      <c r="X49">
        <v>223.70000000000002</v>
      </c>
      <c r="Z49" s="11"/>
      <c r="AA49" s="11"/>
      <c r="AB49" s="11"/>
      <c r="AC49" s="11"/>
      <c r="AD49" s="11"/>
    </row>
    <row r="50" spans="1:30" x14ac:dyDescent="0.25">
      <c r="A50">
        <v>20160218</v>
      </c>
      <c r="B50" t="s">
        <v>100</v>
      </c>
      <c r="C50" t="s">
        <v>103</v>
      </c>
      <c r="D50" t="s">
        <v>99</v>
      </c>
      <c r="E50" s="6" t="s">
        <v>122</v>
      </c>
      <c r="G50" s="7">
        <v>-55</v>
      </c>
      <c r="Z50" s="11"/>
      <c r="AA50" s="11"/>
      <c r="AB50" s="11"/>
      <c r="AC50" s="11"/>
      <c r="AD50" s="11"/>
    </row>
    <row r="51" spans="1:30" x14ac:dyDescent="0.25">
      <c r="A51">
        <v>20160218</v>
      </c>
      <c r="B51" t="s">
        <v>100</v>
      </c>
      <c r="C51" t="s">
        <v>104</v>
      </c>
      <c r="D51" t="s">
        <v>99</v>
      </c>
      <c r="E51" s="6" t="s">
        <v>122</v>
      </c>
      <c r="G51" s="7">
        <v>-52</v>
      </c>
      <c r="H51">
        <v>16218105</v>
      </c>
      <c r="I51">
        <v>-2.9096000000000002</v>
      </c>
      <c r="J51">
        <v>14.770300000000001</v>
      </c>
      <c r="K51">
        <v>586.58180000000004</v>
      </c>
      <c r="L51">
        <v>19.488800000000001</v>
      </c>
      <c r="M51">
        <v>18.464433333333336</v>
      </c>
      <c r="O51">
        <v>16218106</v>
      </c>
      <c r="P51">
        <v>6</v>
      </c>
      <c r="Q51">
        <v>50</v>
      </c>
      <c r="R51">
        <f>Q51/M51</f>
        <v>2.7079087182023813</v>
      </c>
      <c r="S51">
        <v>-56.9</v>
      </c>
      <c r="T51">
        <v>-42.3</v>
      </c>
      <c r="U51">
        <v>14.1</v>
      </c>
      <c r="V51">
        <v>56.5</v>
      </c>
      <c r="W51">
        <v>0.5</v>
      </c>
      <c r="X51">
        <v>195.89999999999998</v>
      </c>
      <c r="Z51" s="11"/>
      <c r="AA51" s="11"/>
      <c r="AB51" s="11"/>
      <c r="AC51" s="11"/>
      <c r="AD51" s="11"/>
    </row>
    <row r="52" spans="1:30" x14ac:dyDescent="0.25">
      <c r="A52">
        <v>20160216</v>
      </c>
      <c r="B52" t="s">
        <v>105</v>
      </c>
      <c r="C52" t="s">
        <v>97</v>
      </c>
      <c r="D52" t="s">
        <v>99</v>
      </c>
      <c r="E52" s="6" t="s">
        <v>122</v>
      </c>
      <c r="H52">
        <v>16216010</v>
      </c>
      <c r="I52">
        <v>-116.2067</v>
      </c>
      <c r="J52">
        <v>8.34</v>
      </c>
      <c r="K52">
        <v>116.6465</v>
      </c>
      <c r="L52">
        <v>72.444299999999998</v>
      </c>
      <c r="M52">
        <v>73.459600000000009</v>
      </c>
      <c r="O52">
        <v>16216011</v>
      </c>
      <c r="P52">
        <v>14</v>
      </c>
      <c r="Q52">
        <v>130</v>
      </c>
      <c r="R52">
        <f>Q52/M52</f>
        <v>1.7696802051740002</v>
      </c>
      <c r="S52">
        <v>-54.199999999999996</v>
      </c>
      <c r="T52">
        <v>-44.5</v>
      </c>
      <c r="U52">
        <v>21.1</v>
      </c>
      <c r="V52">
        <v>65.600000000000009</v>
      </c>
      <c r="W52">
        <v>0.5</v>
      </c>
      <c r="X52">
        <v>184</v>
      </c>
      <c r="Y52">
        <v>31.5</v>
      </c>
      <c r="Z52" s="11"/>
      <c r="AA52" s="11"/>
      <c r="AB52" s="11"/>
      <c r="AC52" s="11"/>
      <c r="AD52" s="11"/>
    </row>
    <row r="53" spans="1:30" x14ac:dyDescent="0.25">
      <c r="A53">
        <v>20160216</v>
      </c>
      <c r="B53" t="s">
        <v>105</v>
      </c>
      <c r="C53" t="s">
        <v>101</v>
      </c>
      <c r="D53" t="s">
        <v>99</v>
      </c>
      <c r="E53" s="6" t="s">
        <v>122</v>
      </c>
      <c r="G53" s="7">
        <v>-63</v>
      </c>
      <c r="H53">
        <v>16216023</v>
      </c>
      <c r="I53">
        <v>3.3458999999999999</v>
      </c>
      <c r="J53">
        <v>9.7507999999999999</v>
      </c>
      <c r="K53">
        <v>295.33420000000001</v>
      </c>
      <c r="L53">
        <v>69.8673</v>
      </c>
      <c r="M53">
        <v>68.605766666666668</v>
      </c>
      <c r="O53">
        <v>16216024</v>
      </c>
      <c r="P53">
        <v>10</v>
      </c>
      <c r="Q53">
        <v>90</v>
      </c>
      <c r="R53">
        <f>Q53/M53</f>
        <v>1.3118430763594702</v>
      </c>
      <c r="S53">
        <v>-54.300000000000004</v>
      </c>
      <c r="T53">
        <v>-41</v>
      </c>
      <c r="U53">
        <v>26.1</v>
      </c>
      <c r="V53">
        <v>67.100000000000009</v>
      </c>
      <c r="W53">
        <v>0.5</v>
      </c>
      <c r="X53">
        <v>219.4</v>
      </c>
      <c r="Y53">
        <v>30.200000000000003</v>
      </c>
      <c r="Z53" s="11"/>
      <c r="AA53" s="11"/>
      <c r="AB53" s="11"/>
      <c r="AC53" s="11"/>
      <c r="AD53" s="11"/>
    </row>
    <row r="54" spans="1:30" x14ac:dyDescent="0.25">
      <c r="A54">
        <v>20160315</v>
      </c>
      <c r="B54" t="s">
        <v>105</v>
      </c>
      <c r="C54" t="s">
        <v>102</v>
      </c>
      <c r="D54" t="s">
        <v>99</v>
      </c>
      <c r="E54" s="6" t="s">
        <v>122</v>
      </c>
      <c r="G54" s="7">
        <v>-43</v>
      </c>
      <c r="H54">
        <v>16315011</v>
      </c>
      <c r="I54">
        <v>-75.901399999999995</v>
      </c>
      <c r="J54">
        <v>8.1476000000000006</v>
      </c>
      <c r="K54">
        <v>184.8381</v>
      </c>
      <c r="L54">
        <v>45.887300000000003</v>
      </c>
      <c r="M54">
        <v>47.657154545454546</v>
      </c>
      <c r="O54">
        <v>16315012</v>
      </c>
      <c r="P54">
        <v>13</v>
      </c>
      <c r="Q54">
        <v>120</v>
      </c>
      <c r="R54">
        <f>Q54/M54</f>
        <v>2.5179849939539745</v>
      </c>
      <c r="S54">
        <v>-52.6</v>
      </c>
      <c r="T54">
        <v>-36.200000000000003</v>
      </c>
      <c r="U54">
        <v>23.8</v>
      </c>
      <c r="V54">
        <v>60</v>
      </c>
      <c r="W54">
        <v>0.5</v>
      </c>
      <c r="X54">
        <v>213.60000000000002</v>
      </c>
      <c r="Y54">
        <v>29.6</v>
      </c>
      <c r="Z54" s="11"/>
      <c r="AA54" s="11"/>
      <c r="AB54" s="11"/>
      <c r="AC54" s="11"/>
      <c r="AD54" s="11"/>
    </row>
    <row r="55" spans="1:30" x14ac:dyDescent="0.25">
      <c r="A55">
        <v>20160315</v>
      </c>
      <c r="B55" t="s">
        <v>105</v>
      </c>
      <c r="C55" t="s">
        <v>102</v>
      </c>
      <c r="D55" t="s">
        <v>99</v>
      </c>
      <c r="E55" s="6" t="s">
        <v>122</v>
      </c>
      <c r="G55" s="7">
        <v>-43</v>
      </c>
      <c r="H55">
        <v>16315023</v>
      </c>
      <c r="I55">
        <v>-82.337900000000005</v>
      </c>
      <c r="J55">
        <v>7.6139999999999999</v>
      </c>
      <c r="K55">
        <v>158.85570000000001</v>
      </c>
      <c r="L55">
        <v>51.700499999999998</v>
      </c>
      <c r="M55">
        <v>47.657154545454546</v>
      </c>
      <c r="O55">
        <v>16315024</v>
      </c>
      <c r="P55">
        <v>13</v>
      </c>
      <c r="Q55">
        <v>120</v>
      </c>
      <c r="R55">
        <f>Q55/M55</f>
        <v>2.5179849939539745</v>
      </c>
      <c r="S55">
        <v>-53.1</v>
      </c>
      <c r="T55">
        <v>-40.700000000000003</v>
      </c>
      <c r="U55">
        <v>24.400000000000002</v>
      </c>
      <c r="V55">
        <v>65.100000000000009</v>
      </c>
      <c r="W55">
        <v>0.5</v>
      </c>
      <c r="X55">
        <v>222.5</v>
      </c>
      <c r="Y55">
        <v>31.099999999999998</v>
      </c>
      <c r="Z55" s="11"/>
      <c r="AA55" s="11"/>
      <c r="AB55" s="11"/>
      <c r="AC55" s="11"/>
      <c r="AD55" s="11"/>
    </row>
    <row r="56" spans="1:30" x14ac:dyDescent="0.25">
      <c r="A56">
        <v>20160315</v>
      </c>
      <c r="B56" t="s">
        <v>105</v>
      </c>
      <c r="C56" t="s">
        <v>103</v>
      </c>
      <c r="D56" t="s">
        <v>99</v>
      </c>
      <c r="E56" s="6" t="s">
        <v>122</v>
      </c>
      <c r="G56" s="7">
        <v>-73</v>
      </c>
      <c r="Z56" s="11"/>
      <c r="AA56" s="11"/>
      <c r="AB56" s="11"/>
      <c r="AC56" s="11"/>
      <c r="AD56" s="11"/>
    </row>
    <row r="57" spans="1:30" x14ac:dyDescent="0.25">
      <c r="A57">
        <v>20160315</v>
      </c>
      <c r="B57" t="s">
        <v>105</v>
      </c>
      <c r="C57" t="s">
        <v>107</v>
      </c>
      <c r="D57" t="s">
        <v>99</v>
      </c>
      <c r="E57" s="6" t="s">
        <v>122</v>
      </c>
      <c r="G57" s="7">
        <v>-62</v>
      </c>
      <c r="H57">
        <v>16315046</v>
      </c>
      <c r="I57">
        <v>5.7502000000000004</v>
      </c>
      <c r="J57">
        <v>10.337300000000001</v>
      </c>
      <c r="K57">
        <v>275.76179999999999</v>
      </c>
      <c r="L57">
        <v>36.222000000000001</v>
      </c>
      <c r="M57">
        <v>36.129871428571427</v>
      </c>
      <c r="O57">
        <v>16315047</v>
      </c>
      <c r="P57">
        <v>9</v>
      </c>
      <c r="Q57">
        <v>80</v>
      </c>
      <c r="R57">
        <f t="shared" ref="R57:R70" si="2">Q57/M57</f>
        <v>2.2142342841756188</v>
      </c>
      <c r="S57">
        <v>-54.699999999999996</v>
      </c>
      <c r="T57">
        <v>-39.199999999999996</v>
      </c>
      <c r="U57">
        <v>24.1</v>
      </c>
      <c r="V57">
        <v>63.3</v>
      </c>
      <c r="W57">
        <v>0.6</v>
      </c>
      <c r="X57">
        <v>183.10000000000002</v>
      </c>
      <c r="Y57">
        <v>29</v>
      </c>
      <c r="Z57" s="11"/>
      <c r="AA57" s="11"/>
      <c r="AB57" s="11"/>
      <c r="AC57" s="11"/>
      <c r="AD57" s="11"/>
    </row>
    <row r="58" spans="1:30" x14ac:dyDescent="0.25">
      <c r="A58">
        <v>20160315</v>
      </c>
      <c r="B58" t="s">
        <v>105</v>
      </c>
      <c r="C58" t="s">
        <v>107</v>
      </c>
      <c r="D58" t="s">
        <v>99</v>
      </c>
      <c r="E58" s="6" t="s">
        <v>122</v>
      </c>
      <c r="G58" s="7">
        <v>-62</v>
      </c>
      <c r="H58">
        <v>16315054</v>
      </c>
      <c r="I58">
        <v>22.370799999999999</v>
      </c>
      <c r="J58">
        <v>11.244</v>
      </c>
      <c r="K58">
        <v>256.10700000000003</v>
      </c>
      <c r="L58">
        <v>36.546399999999998</v>
      </c>
      <c r="M58">
        <v>36.129871428571427</v>
      </c>
      <c r="O58">
        <v>16315055</v>
      </c>
      <c r="P58">
        <v>9</v>
      </c>
      <c r="Q58">
        <v>80</v>
      </c>
      <c r="R58">
        <f t="shared" si="2"/>
        <v>2.2142342841756188</v>
      </c>
      <c r="S58">
        <v>-54.068899999999999</v>
      </c>
      <c r="T58">
        <v>-38.818399999999997</v>
      </c>
      <c r="U58">
        <v>20.4468</v>
      </c>
      <c r="V58">
        <v>59.265099999999997</v>
      </c>
      <c r="W58">
        <v>0.57999999999999996</v>
      </c>
      <c r="X58">
        <v>173.03469999999999</v>
      </c>
      <c r="Y58">
        <v>29.533100000000001</v>
      </c>
      <c r="Z58" s="11"/>
      <c r="AA58" s="11"/>
      <c r="AB58" s="11"/>
      <c r="AC58" s="11"/>
      <c r="AD58" s="11"/>
    </row>
    <row r="59" spans="1:30" x14ac:dyDescent="0.25">
      <c r="A59">
        <v>20160315</v>
      </c>
      <c r="B59" t="s">
        <v>105</v>
      </c>
      <c r="C59" t="s">
        <v>104</v>
      </c>
      <c r="D59" t="s">
        <v>99</v>
      </c>
      <c r="E59" s="6" t="s">
        <v>122</v>
      </c>
      <c r="G59" s="7">
        <v>-66</v>
      </c>
      <c r="H59">
        <v>16315086</v>
      </c>
      <c r="I59">
        <v>63.665700000000001</v>
      </c>
      <c r="J59">
        <v>16.2227</v>
      </c>
      <c r="K59">
        <v>120.2137</v>
      </c>
      <c r="L59">
        <v>48.491300000000003</v>
      </c>
      <c r="M59">
        <v>53.02805</v>
      </c>
      <c r="O59">
        <v>16315087</v>
      </c>
      <c r="P59">
        <v>16</v>
      </c>
      <c r="Q59">
        <v>150</v>
      </c>
      <c r="R59">
        <f t="shared" si="2"/>
        <v>2.8286916075548696</v>
      </c>
      <c r="S59">
        <v>-54.1021</v>
      </c>
      <c r="T59">
        <v>-39.2761</v>
      </c>
      <c r="U59">
        <v>16.815200000000001</v>
      </c>
      <c r="V59">
        <v>56.091299999999997</v>
      </c>
      <c r="W59">
        <v>0.57999999999999996</v>
      </c>
      <c r="X59">
        <v>167.2363</v>
      </c>
      <c r="Y59">
        <v>28.632899999999999</v>
      </c>
      <c r="Z59" s="11"/>
      <c r="AA59" s="11"/>
      <c r="AB59" s="11"/>
      <c r="AC59" s="11"/>
      <c r="AD59" s="11"/>
    </row>
    <row r="60" spans="1:30" x14ac:dyDescent="0.25">
      <c r="A60">
        <v>20160315</v>
      </c>
      <c r="B60" t="s">
        <v>105</v>
      </c>
      <c r="C60" t="s">
        <v>104</v>
      </c>
      <c r="D60" t="s">
        <v>99</v>
      </c>
      <c r="E60" s="6" t="s">
        <v>122</v>
      </c>
      <c r="G60" s="7">
        <v>-66</v>
      </c>
      <c r="H60">
        <v>16315096</v>
      </c>
      <c r="I60">
        <v>54.2761</v>
      </c>
      <c r="J60">
        <v>11.4885</v>
      </c>
      <c r="K60">
        <v>123.2561</v>
      </c>
      <c r="L60">
        <v>54.7029</v>
      </c>
      <c r="M60">
        <v>53.02805</v>
      </c>
      <c r="O60">
        <v>16315097</v>
      </c>
      <c r="P60">
        <v>12</v>
      </c>
      <c r="Q60">
        <v>110</v>
      </c>
      <c r="R60">
        <f t="shared" si="2"/>
        <v>2.0743738455402378</v>
      </c>
      <c r="S60">
        <v>-52.933799999999998</v>
      </c>
      <c r="T60">
        <v>-40.527299999999997</v>
      </c>
      <c r="U60">
        <v>21.423300000000001</v>
      </c>
      <c r="V60">
        <v>61.950699999999998</v>
      </c>
      <c r="W60">
        <v>0.55500000000000005</v>
      </c>
      <c r="X60">
        <v>175.78129999999999</v>
      </c>
      <c r="Y60">
        <v>31.1021</v>
      </c>
      <c r="Z60" s="11"/>
      <c r="AA60" s="11"/>
      <c r="AB60" s="11"/>
      <c r="AC60" s="11"/>
      <c r="AD60" s="11"/>
    </row>
    <row r="61" spans="1:30" x14ac:dyDescent="0.25">
      <c r="A61">
        <v>20160303</v>
      </c>
      <c r="B61" t="s">
        <v>108</v>
      </c>
      <c r="C61" t="s">
        <v>101</v>
      </c>
      <c r="D61" t="s">
        <v>99</v>
      </c>
      <c r="E61" s="6" t="s">
        <v>122</v>
      </c>
      <c r="G61" s="7">
        <v>-43</v>
      </c>
      <c r="H61">
        <v>16303013</v>
      </c>
      <c r="I61">
        <v>-58.165500000000002</v>
      </c>
      <c r="J61">
        <v>8.6771999999999991</v>
      </c>
      <c r="K61">
        <v>165.39869999999999</v>
      </c>
      <c r="L61">
        <v>55.662500000000001</v>
      </c>
      <c r="M61">
        <v>54.289519999999996</v>
      </c>
      <c r="O61">
        <v>16303012</v>
      </c>
      <c r="P61">
        <v>17</v>
      </c>
      <c r="Q61">
        <v>160</v>
      </c>
      <c r="R61">
        <f t="shared" si="2"/>
        <v>2.9471618094984082</v>
      </c>
      <c r="S61">
        <v>-54.199999999999996</v>
      </c>
      <c r="T61">
        <v>-40.200000000000003</v>
      </c>
      <c r="U61">
        <v>20.400000000000002</v>
      </c>
      <c r="V61">
        <v>60.699999999999996</v>
      </c>
      <c r="W61">
        <v>0.4</v>
      </c>
      <c r="X61">
        <v>226.1</v>
      </c>
      <c r="Y61">
        <v>32.599999999999994</v>
      </c>
      <c r="Z61" s="11"/>
      <c r="AA61" s="11"/>
      <c r="AB61" s="11"/>
      <c r="AC61" s="11"/>
      <c r="AD61" s="11"/>
    </row>
    <row r="62" spans="1:30" x14ac:dyDescent="0.25">
      <c r="A62">
        <v>20160303</v>
      </c>
      <c r="B62" t="s">
        <v>108</v>
      </c>
      <c r="C62" t="s">
        <v>101</v>
      </c>
      <c r="D62" t="s">
        <v>99</v>
      </c>
      <c r="E62" s="6" t="s">
        <v>122</v>
      </c>
      <c r="G62" s="7">
        <v>-43</v>
      </c>
      <c r="H62">
        <v>16303021</v>
      </c>
      <c r="I62">
        <v>-33.626399999999997</v>
      </c>
      <c r="J62">
        <v>9.1300000000000008</v>
      </c>
      <c r="K62">
        <v>137.95660000000001</v>
      </c>
      <c r="L62">
        <v>50.836799999999997</v>
      </c>
      <c r="M62">
        <v>54.289519999999996</v>
      </c>
      <c r="O62">
        <v>16303022</v>
      </c>
      <c r="P62">
        <v>21</v>
      </c>
      <c r="Q62">
        <v>200</v>
      </c>
      <c r="R62">
        <f t="shared" si="2"/>
        <v>3.6839522618730101</v>
      </c>
      <c r="S62">
        <v>-55.800000000000004</v>
      </c>
      <c r="T62">
        <v>-41.099999999999994</v>
      </c>
      <c r="U62">
        <v>18.599999999999998</v>
      </c>
      <c r="V62">
        <v>59.8</v>
      </c>
      <c r="W62">
        <v>0.4</v>
      </c>
      <c r="X62">
        <v>222.5</v>
      </c>
      <c r="Y62">
        <v>32.599999999999994</v>
      </c>
      <c r="Z62" s="11"/>
      <c r="AA62" s="11"/>
      <c r="AB62" s="11"/>
      <c r="AC62" s="11"/>
      <c r="AD62" s="11"/>
    </row>
    <row r="63" spans="1:30" x14ac:dyDescent="0.25">
      <c r="A63">
        <v>20160303</v>
      </c>
      <c r="B63" t="s">
        <v>108</v>
      </c>
      <c r="C63" t="s">
        <v>103</v>
      </c>
      <c r="D63" t="s">
        <v>99</v>
      </c>
      <c r="E63" s="6" t="s">
        <v>122</v>
      </c>
      <c r="G63" s="7">
        <v>-52</v>
      </c>
      <c r="H63">
        <v>16303041</v>
      </c>
      <c r="I63">
        <v>-7.2335000000000003</v>
      </c>
      <c r="J63">
        <v>10.9458</v>
      </c>
      <c r="K63">
        <v>419.76979999999998</v>
      </c>
      <c r="L63">
        <v>37.761499999999998</v>
      </c>
      <c r="M63">
        <v>35.620688888888893</v>
      </c>
      <c r="O63">
        <v>16303042</v>
      </c>
      <c r="P63">
        <v>10</v>
      </c>
      <c r="Q63">
        <v>90</v>
      </c>
      <c r="R63">
        <f t="shared" si="2"/>
        <v>2.5266215451569654</v>
      </c>
      <c r="S63">
        <v>-54.699999999999996</v>
      </c>
      <c r="T63">
        <v>-34.200000000000003</v>
      </c>
      <c r="U63">
        <v>18.700000000000003</v>
      </c>
      <c r="V63">
        <v>53</v>
      </c>
      <c r="W63">
        <v>0.4</v>
      </c>
      <c r="X63">
        <v>235.3</v>
      </c>
      <c r="Z63" s="11"/>
      <c r="AA63" s="11"/>
      <c r="AB63" s="11"/>
      <c r="AC63" s="11"/>
      <c r="AD63" s="11"/>
    </row>
    <row r="64" spans="1:30" x14ac:dyDescent="0.25">
      <c r="A64">
        <v>20160303</v>
      </c>
      <c r="B64" t="s">
        <v>108</v>
      </c>
      <c r="C64" t="s">
        <v>104</v>
      </c>
      <c r="D64" t="s">
        <v>99</v>
      </c>
      <c r="E64" s="6" t="s">
        <v>122</v>
      </c>
      <c r="G64" s="7">
        <v>-66</v>
      </c>
      <c r="H64">
        <v>1630372</v>
      </c>
      <c r="I64">
        <v>-47.596899999999998</v>
      </c>
      <c r="J64">
        <v>10.036300000000001</v>
      </c>
      <c r="K64">
        <v>132.23599999999999</v>
      </c>
      <c r="L64">
        <v>39.711100000000002</v>
      </c>
      <c r="M64">
        <v>38.420799999999993</v>
      </c>
      <c r="O64">
        <v>16303073</v>
      </c>
      <c r="P64">
        <v>29</v>
      </c>
      <c r="Q64">
        <v>280</v>
      </c>
      <c r="R64">
        <f t="shared" si="2"/>
        <v>7.2877191521259332</v>
      </c>
      <c r="S64">
        <v>-57.3</v>
      </c>
      <c r="T64">
        <v>-34.299999999999997</v>
      </c>
      <c r="U64">
        <v>20.400000000000002</v>
      </c>
      <c r="V64">
        <v>54.699999999999996</v>
      </c>
      <c r="W64">
        <v>0.4</v>
      </c>
      <c r="X64">
        <v>281.39999999999998</v>
      </c>
      <c r="Z64" s="11"/>
      <c r="AA64" s="11"/>
      <c r="AB64" s="11"/>
      <c r="AC64" s="11"/>
      <c r="AD64" s="11"/>
    </row>
    <row r="65" spans="1:30" x14ac:dyDescent="0.25">
      <c r="A65">
        <v>20160413</v>
      </c>
      <c r="B65" t="s">
        <v>113</v>
      </c>
      <c r="C65" t="s">
        <v>97</v>
      </c>
      <c r="D65" t="s">
        <v>99</v>
      </c>
      <c r="E65" s="6" t="s">
        <v>122</v>
      </c>
      <c r="G65" s="7">
        <v>-58</v>
      </c>
      <c r="H65">
        <v>16413005</v>
      </c>
      <c r="I65">
        <v>4.82</v>
      </c>
      <c r="J65">
        <v>11.27</v>
      </c>
      <c r="K65">
        <v>512.43299999999999</v>
      </c>
      <c r="L65">
        <v>47.695999999999998</v>
      </c>
      <c r="M65">
        <v>47.176600000000001</v>
      </c>
      <c r="O65">
        <v>16413006</v>
      </c>
      <c r="P65">
        <v>9</v>
      </c>
      <c r="Q65">
        <v>80</v>
      </c>
      <c r="R65">
        <f t="shared" si="2"/>
        <v>1.6957559468041359</v>
      </c>
      <c r="S65">
        <v>-54.699999999999996</v>
      </c>
      <c r="T65">
        <v>-41.4</v>
      </c>
      <c r="U65">
        <v>25.3</v>
      </c>
      <c r="V65">
        <v>66.699999999999989</v>
      </c>
      <c r="W65">
        <v>0.5</v>
      </c>
      <c r="X65">
        <v>256.29999999999995</v>
      </c>
      <c r="Z65" s="11"/>
      <c r="AA65" s="11"/>
      <c r="AB65" s="11"/>
      <c r="AC65" s="11"/>
      <c r="AD65" s="11"/>
    </row>
    <row r="66" spans="1:30" x14ac:dyDescent="0.25">
      <c r="A66">
        <v>20160413</v>
      </c>
      <c r="B66" t="s">
        <v>113</v>
      </c>
      <c r="C66" t="s">
        <v>97</v>
      </c>
      <c r="D66" t="s">
        <v>99</v>
      </c>
      <c r="E66" s="6" t="s">
        <v>122</v>
      </c>
      <c r="G66" s="7">
        <v>-58</v>
      </c>
      <c r="H66">
        <v>16413014</v>
      </c>
      <c r="I66">
        <v>-5.141</v>
      </c>
      <c r="J66">
        <v>10.885</v>
      </c>
      <c r="K66">
        <v>460.86099999999999</v>
      </c>
      <c r="L66">
        <v>48.097999999999999</v>
      </c>
      <c r="M66">
        <v>47.176600000000001</v>
      </c>
      <c r="O66">
        <v>16413015</v>
      </c>
      <c r="P66">
        <v>7</v>
      </c>
      <c r="Q66">
        <v>61</v>
      </c>
      <c r="R66">
        <f t="shared" si="2"/>
        <v>1.2930139094381536</v>
      </c>
      <c r="S66">
        <v>-52.5</v>
      </c>
      <c r="T66">
        <v>-40.800000000000004</v>
      </c>
      <c r="U66">
        <v>25.7</v>
      </c>
      <c r="V66">
        <v>66.5</v>
      </c>
      <c r="W66">
        <v>0.5</v>
      </c>
      <c r="X66">
        <v>256</v>
      </c>
      <c r="Z66" s="11"/>
      <c r="AA66" s="11"/>
      <c r="AB66" s="11"/>
      <c r="AC66" s="11"/>
      <c r="AD66" s="11"/>
    </row>
    <row r="67" spans="1:30" x14ac:dyDescent="0.25">
      <c r="A67">
        <v>20160413</v>
      </c>
      <c r="B67" t="s">
        <v>113</v>
      </c>
      <c r="C67" t="s">
        <v>101</v>
      </c>
      <c r="D67" t="s">
        <v>99</v>
      </c>
      <c r="E67" s="6" t="s">
        <v>122</v>
      </c>
      <c r="G67" s="7">
        <v>-57</v>
      </c>
      <c r="H67">
        <v>16413046</v>
      </c>
      <c r="J67">
        <v>10.772867026193149</v>
      </c>
      <c r="K67">
        <v>345.44581509667302</v>
      </c>
      <c r="L67">
        <v>18.512</v>
      </c>
      <c r="M67">
        <v>18.512</v>
      </c>
      <c r="O67">
        <v>16413047</v>
      </c>
      <c r="P67">
        <v>6</v>
      </c>
      <c r="Q67">
        <v>50</v>
      </c>
      <c r="R67">
        <f t="shared" si="2"/>
        <v>2.7009507346585999</v>
      </c>
      <c r="S67">
        <v>-56.616199999999999</v>
      </c>
      <c r="T67">
        <v>-43.884300000000003</v>
      </c>
      <c r="U67">
        <v>29.7241</v>
      </c>
      <c r="V67">
        <v>73.608400000000003</v>
      </c>
      <c r="W67">
        <v>0.57999999999999996</v>
      </c>
      <c r="X67">
        <v>217.2852</v>
      </c>
      <c r="Y67">
        <v>32.118099999999998</v>
      </c>
      <c r="Z67" s="11"/>
      <c r="AA67" s="11"/>
      <c r="AB67" s="11"/>
      <c r="AC67" s="11"/>
      <c r="AD67" s="11"/>
    </row>
    <row r="68" spans="1:30" x14ac:dyDescent="0.25">
      <c r="A68">
        <v>20160413</v>
      </c>
      <c r="B68" t="s">
        <v>113</v>
      </c>
      <c r="C68" t="s">
        <v>101</v>
      </c>
      <c r="D68" t="s">
        <v>99</v>
      </c>
      <c r="E68" s="6" t="s">
        <v>122</v>
      </c>
      <c r="G68" s="7">
        <v>-57</v>
      </c>
      <c r="H68">
        <v>16413055</v>
      </c>
      <c r="J68">
        <v>11.155335820229533</v>
      </c>
      <c r="K68">
        <v>331.46827185701784</v>
      </c>
      <c r="M68">
        <v>18.512</v>
      </c>
      <c r="O68">
        <v>16413056</v>
      </c>
      <c r="P68">
        <v>5</v>
      </c>
      <c r="Q68">
        <v>40</v>
      </c>
      <c r="R68">
        <f t="shared" si="2"/>
        <v>2.1607605877268798</v>
      </c>
      <c r="S68">
        <v>-57.691600000000001</v>
      </c>
      <c r="T68">
        <v>-45.593299999999999</v>
      </c>
      <c r="U68">
        <v>28.625499999999999</v>
      </c>
      <c r="V68">
        <v>74.218800000000002</v>
      </c>
      <c r="W68">
        <v>0.56999999999999995</v>
      </c>
      <c r="X68">
        <v>215.45410000000001</v>
      </c>
      <c r="Y68">
        <v>32.158999999999999</v>
      </c>
      <c r="Z68" s="11"/>
      <c r="AA68" s="11"/>
      <c r="AB68" s="11"/>
      <c r="AC68" s="11"/>
      <c r="AD68" s="11"/>
    </row>
    <row r="69" spans="1:30" x14ac:dyDescent="0.25">
      <c r="A69">
        <v>20160413</v>
      </c>
      <c r="B69" t="s">
        <v>113</v>
      </c>
      <c r="C69" t="s">
        <v>103</v>
      </c>
      <c r="D69" t="s">
        <v>99</v>
      </c>
      <c r="E69" s="6" t="s">
        <v>122</v>
      </c>
      <c r="G69" s="7">
        <v>-53</v>
      </c>
      <c r="H69">
        <v>16413077</v>
      </c>
      <c r="I69">
        <v>-11.388</v>
      </c>
      <c r="J69">
        <v>19.745999999999999</v>
      </c>
      <c r="K69">
        <v>214.29</v>
      </c>
      <c r="L69">
        <v>33.088000000000001</v>
      </c>
      <c r="M69">
        <v>34.471333333333327</v>
      </c>
      <c r="O69">
        <v>16413078</v>
      </c>
      <c r="P69">
        <v>11</v>
      </c>
      <c r="Q69">
        <v>100</v>
      </c>
      <c r="R69">
        <f t="shared" si="2"/>
        <v>2.9009611851393435</v>
      </c>
      <c r="S69">
        <v>-55.35</v>
      </c>
      <c r="T69">
        <v>-38.787799999999997</v>
      </c>
      <c r="U69">
        <v>17.730699999999999</v>
      </c>
      <c r="V69">
        <v>56.518599999999999</v>
      </c>
      <c r="W69">
        <v>0.63500000000000001</v>
      </c>
      <c r="X69">
        <v>166.32079999999999</v>
      </c>
      <c r="Y69">
        <v>29.398099999999999</v>
      </c>
      <c r="Z69" s="11"/>
      <c r="AA69" s="11"/>
      <c r="AB69" s="11"/>
      <c r="AC69" s="11"/>
      <c r="AD69" s="11"/>
    </row>
    <row r="70" spans="1:30" x14ac:dyDescent="0.25">
      <c r="A70">
        <v>20160413</v>
      </c>
      <c r="B70" t="s">
        <v>113</v>
      </c>
      <c r="C70" t="s">
        <v>103</v>
      </c>
      <c r="D70" t="s">
        <v>99</v>
      </c>
      <c r="E70" s="6" t="s">
        <v>122</v>
      </c>
      <c r="G70" s="7">
        <v>-53</v>
      </c>
      <c r="H70">
        <v>16413086</v>
      </c>
      <c r="I70">
        <v>-7.6959999999999997</v>
      </c>
      <c r="J70">
        <v>14.677</v>
      </c>
      <c r="K70">
        <v>199.696</v>
      </c>
      <c r="L70">
        <v>34.904000000000003</v>
      </c>
      <c r="M70">
        <v>34.471333333333327</v>
      </c>
      <c r="O70">
        <v>16413087</v>
      </c>
      <c r="P70">
        <v>9</v>
      </c>
      <c r="Q70">
        <v>80</v>
      </c>
      <c r="R70">
        <f t="shared" si="2"/>
        <v>2.3207689481114748</v>
      </c>
      <c r="S70">
        <v>-53.8</v>
      </c>
      <c r="T70">
        <v>-38.9</v>
      </c>
      <c r="U70">
        <v>21.7</v>
      </c>
      <c r="V70">
        <v>60.5</v>
      </c>
      <c r="W70">
        <v>0.6</v>
      </c>
      <c r="X70">
        <v>177.6</v>
      </c>
      <c r="Y70">
        <v>35.700000000000003</v>
      </c>
      <c r="Z70" s="11"/>
      <c r="AA70" s="11"/>
      <c r="AB70" s="11"/>
      <c r="AC70" s="11"/>
      <c r="AD70" s="11"/>
    </row>
    <row r="71" spans="1:30" x14ac:dyDescent="0.25">
      <c r="A71">
        <v>20160413</v>
      </c>
      <c r="B71" t="s">
        <v>113</v>
      </c>
      <c r="C71" t="s">
        <v>107</v>
      </c>
      <c r="D71" t="s">
        <v>99</v>
      </c>
      <c r="E71" s="6" t="s">
        <v>122</v>
      </c>
      <c r="G71" s="7">
        <v>-54</v>
      </c>
      <c r="Z71" s="11"/>
      <c r="AA71" s="11"/>
      <c r="AB71" s="11"/>
      <c r="AC71" s="11"/>
      <c r="AD71" s="11"/>
    </row>
    <row r="72" spans="1:30" x14ac:dyDescent="0.25">
      <c r="A72">
        <v>20160413</v>
      </c>
      <c r="B72" t="s">
        <v>113</v>
      </c>
      <c r="C72" t="s">
        <v>104</v>
      </c>
      <c r="D72" t="s">
        <v>99</v>
      </c>
      <c r="E72" s="6" t="s">
        <v>122</v>
      </c>
      <c r="G72" s="7">
        <v>-53</v>
      </c>
      <c r="H72">
        <v>16413134</v>
      </c>
      <c r="I72">
        <v>9.3030000000000008</v>
      </c>
      <c r="J72">
        <v>6.8659999999999997</v>
      </c>
      <c r="K72">
        <v>255.339</v>
      </c>
      <c r="L72">
        <v>43.58</v>
      </c>
      <c r="M72">
        <v>40.910583333333342</v>
      </c>
      <c r="O72">
        <v>16413135</v>
      </c>
      <c r="P72">
        <v>11</v>
      </c>
      <c r="Q72">
        <v>100</v>
      </c>
      <c r="R72">
        <f>Q72/M72</f>
        <v>2.4443552707428999</v>
      </c>
      <c r="S72">
        <v>-57.6</v>
      </c>
      <c r="T72">
        <v>-42</v>
      </c>
      <c r="U72">
        <v>27.599999999999998</v>
      </c>
      <c r="V72">
        <v>69.599999999999994</v>
      </c>
      <c r="W72">
        <v>0.5</v>
      </c>
      <c r="X72">
        <v>219.4</v>
      </c>
      <c r="Y72">
        <v>38.4</v>
      </c>
      <c r="Z72" s="11"/>
      <c r="AA72" s="11"/>
      <c r="AB72" s="11"/>
      <c r="AC72" s="12"/>
      <c r="AD72" s="11"/>
    </row>
    <row r="73" spans="1:30" x14ac:dyDescent="0.25">
      <c r="A73">
        <v>20160413</v>
      </c>
      <c r="B73" t="s">
        <v>113</v>
      </c>
      <c r="C73" t="s">
        <v>104</v>
      </c>
      <c r="D73" t="s">
        <v>99</v>
      </c>
      <c r="E73" s="6" t="s">
        <v>122</v>
      </c>
      <c r="G73" s="7">
        <v>-53</v>
      </c>
      <c r="H73">
        <v>16413143</v>
      </c>
      <c r="I73">
        <v>19.314</v>
      </c>
      <c r="J73">
        <v>7.2850000000000001</v>
      </c>
      <c r="K73">
        <v>219.03299999999999</v>
      </c>
      <c r="L73">
        <v>40.148000000000003</v>
      </c>
      <c r="M73">
        <v>40.910583333333342</v>
      </c>
      <c r="O73">
        <v>16413144</v>
      </c>
      <c r="P73">
        <v>11</v>
      </c>
      <c r="Q73">
        <v>101</v>
      </c>
      <c r="R73">
        <f>Q73/M73</f>
        <v>2.4687988234503293</v>
      </c>
      <c r="S73">
        <v>-57.3</v>
      </c>
      <c r="T73">
        <v>-42.3</v>
      </c>
      <c r="U73">
        <v>24.6</v>
      </c>
      <c r="V73">
        <v>66.900000000000006</v>
      </c>
      <c r="W73">
        <v>0.5</v>
      </c>
      <c r="X73">
        <v>209</v>
      </c>
      <c r="Y73">
        <v>37.5</v>
      </c>
      <c r="Z73" s="11"/>
      <c r="AA73" s="11"/>
      <c r="AB73" s="11"/>
      <c r="AC73" s="12"/>
      <c r="AD73" s="11"/>
    </row>
    <row r="74" spans="1:30" x14ac:dyDescent="0.25">
      <c r="A74">
        <v>20160405</v>
      </c>
      <c r="B74" t="s">
        <v>114</v>
      </c>
      <c r="C74" s="3" t="s">
        <v>97</v>
      </c>
      <c r="D74" t="s">
        <v>99</v>
      </c>
      <c r="E74" s="6" t="s">
        <v>122</v>
      </c>
      <c r="G74" s="7">
        <v>-58</v>
      </c>
      <c r="H74">
        <v>16405009</v>
      </c>
      <c r="I74">
        <v>12.236000000000001</v>
      </c>
      <c r="J74">
        <v>10.909000000000001</v>
      </c>
      <c r="K74">
        <v>210.87299999999999</v>
      </c>
      <c r="L74">
        <v>41.04</v>
      </c>
      <c r="M74">
        <v>39.372750000000003</v>
      </c>
      <c r="O74">
        <v>16405010</v>
      </c>
      <c r="P74">
        <v>9</v>
      </c>
      <c r="Q74">
        <v>80</v>
      </c>
      <c r="R74">
        <f>Q74/M74</f>
        <v>2.0318621381539259</v>
      </c>
      <c r="S74">
        <v>-52.5</v>
      </c>
      <c r="T74">
        <v>-37.6</v>
      </c>
      <c r="U74">
        <v>24.6</v>
      </c>
      <c r="V74">
        <v>62.199999999999996</v>
      </c>
      <c r="W74">
        <v>0.5</v>
      </c>
      <c r="X74">
        <v>245.10000000000002</v>
      </c>
      <c r="Z74" s="11"/>
      <c r="AA74" s="11"/>
      <c r="AB74" s="11"/>
      <c r="AC74" s="11"/>
      <c r="AD74" s="11"/>
    </row>
    <row r="75" spans="1:30" x14ac:dyDescent="0.25">
      <c r="A75">
        <v>20160405</v>
      </c>
      <c r="B75" t="s">
        <v>114</v>
      </c>
      <c r="C75" s="3" t="s">
        <v>102</v>
      </c>
      <c r="D75" t="s">
        <v>99</v>
      </c>
      <c r="E75" s="6" t="s">
        <v>122</v>
      </c>
      <c r="H75">
        <v>16405034</v>
      </c>
      <c r="I75">
        <v>46.08</v>
      </c>
      <c r="J75">
        <v>12.686999999999999</v>
      </c>
      <c r="K75">
        <v>294.22300000000001</v>
      </c>
      <c r="L75">
        <v>18.167999999999999</v>
      </c>
      <c r="M75">
        <v>17.995999999999999</v>
      </c>
      <c r="O75">
        <v>16405035</v>
      </c>
      <c r="P75">
        <v>7</v>
      </c>
      <c r="Q75">
        <v>60</v>
      </c>
      <c r="R75">
        <f>Q75/M75</f>
        <v>3.3340742387197158</v>
      </c>
      <c r="S75">
        <v>-52.900000000000006</v>
      </c>
      <c r="T75">
        <v>-36.299999999999997</v>
      </c>
      <c r="U75">
        <v>22.700000000000003</v>
      </c>
      <c r="V75">
        <v>59</v>
      </c>
      <c r="W75">
        <v>0.5</v>
      </c>
      <c r="X75">
        <v>247.5</v>
      </c>
      <c r="Z75" s="11"/>
      <c r="AA75" s="11"/>
      <c r="AB75" s="11"/>
      <c r="AC75" s="11"/>
      <c r="AD75" s="11"/>
    </row>
    <row r="76" spans="1:30" x14ac:dyDescent="0.25">
      <c r="A76">
        <v>20160405</v>
      </c>
      <c r="B76" t="s">
        <v>114</v>
      </c>
      <c r="C76" s="3" t="s">
        <v>107</v>
      </c>
      <c r="D76" t="s">
        <v>99</v>
      </c>
      <c r="E76" s="6" t="s">
        <v>122</v>
      </c>
      <c r="G76" s="7">
        <v>-45</v>
      </c>
      <c r="Z76" s="11"/>
      <c r="AA76" s="11"/>
      <c r="AB76" s="11"/>
      <c r="AC76" s="11"/>
      <c r="AD76" s="11"/>
    </row>
    <row r="77" spans="1:30" x14ac:dyDescent="0.25">
      <c r="A77">
        <v>20160405</v>
      </c>
      <c r="B77" t="s">
        <v>114</v>
      </c>
      <c r="C77" s="3" t="s">
        <v>104</v>
      </c>
      <c r="D77" t="s">
        <v>99</v>
      </c>
      <c r="E77" s="6" t="s">
        <v>122</v>
      </c>
      <c r="G77" s="7">
        <v>-46</v>
      </c>
      <c r="Z77" s="11"/>
      <c r="AA77" s="11"/>
      <c r="AB77" s="11"/>
      <c r="AC77" s="11"/>
      <c r="AD77" s="11"/>
    </row>
    <row r="78" spans="1:30" x14ac:dyDescent="0.25">
      <c r="A78">
        <v>20160405</v>
      </c>
      <c r="B78" t="s">
        <v>114</v>
      </c>
      <c r="C78" s="3" t="s">
        <v>115</v>
      </c>
      <c r="D78" t="s">
        <v>99</v>
      </c>
      <c r="E78" s="6" t="s">
        <v>122</v>
      </c>
      <c r="G78" s="7">
        <v>-53</v>
      </c>
      <c r="H78">
        <v>16405119</v>
      </c>
      <c r="I78">
        <v>-3.677</v>
      </c>
      <c r="J78">
        <v>11.195</v>
      </c>
      <c r="K78">
        <v>394.27</v>
      </c>
      <c r="L78">
        <v>37.375999999999998</v>
      </c>
      <c r="M78">
        <v>36.446166666666663</v>
      </c>
      <c r="O78">
        <v>16405120</v>
      </c>
      <c r="P78">
        <v>7</v>
      </c>
      <c r="Q78">
        <v>60</v>
      </c>
      <c r="R78">
        <f t="shared" ref="R78:R88" si="3">Q78/M78</f>
        <v>1.6462636674181557</v>
      </c>
      <c r="S78">
        <v>-56.9</v>
      </c>
      <c r="T78">
        <v>-40.4</v>
      </c>
      <c r="U78">
        <v>20.2</v>
      </c>
      <c r="V78">
        <v>60.6</v>
      </c>
      <c r="W78">
        <v>0.4</v>
      </c>
      <c r="X78">
        <v>283.8</v>
      </c>
      <c r="Y78">
        <v>31.4</v>
      </c>
      <c r="Z78" s="11"/>
      <c r="AA78" s="11"/>
      <c r="AB78" s="11"/>
      <c r="AC78" s="11"/>
      <c r="AD78" s="11"/>
    </row>
    <row r="79" spans="1:30" x14ac:dyDescent="0.25">
      <c r="A79">
        <v>20160405</v>
      </c>
      <c r="B79" t="s">
        <v>114</v>
      </c>
      <c r="C79" s="3" t="s">
        <v>115</v>
      </c>
      <c r="D79" t="s">
        <v>99</v>
      </c>
      <c r="E79" s="6" t="s">
        <v>122</v>
      </c>
      <c r="G79" s="7">
        <v>-53</v>
      </c>
      <c r="H79">
        <v>16405129</v>
      </c>
      <c r="I79">
        <v>17.431999999999999</v>
      </c>
      <c r="J79">
        <v>11.752000000000001</v>
      </c>
      <c r="K79">
        <v>301.77699999999999</v>
      </c>
      <c r="L79">
        <v>34.533000000000001</v>
      </c>
      <c r="M79">
        <v>36.446166666666663</v>
      </c>
      <c r="O79">
        <v>16405130</v>
      </c>
      <c r="P79">
        <v>7</v>
      </c>
      <c r="Q79">
        <v>60</v>
      </c>
      <c r="R79">
        <f t="shared" si="3"/>
        <v>1.6462636674181557</v>
      </c>
      <c r="S79">
        <v>-54.300000000000004</v>
      </c>
      <c r="T79">
        <v>-41.7</v>
      </c>
      <c r="U79">
        <v>18.100000000000001</v>
      </c>
      <c r="V79">
        <v>59.7</v>
      </c>
      <c r="W79">
        <v>0.4</v>
      </c>
      <c r="X79">
        <v>268.60000000000002</v>
      </c>
      <c r="Z79" s="11"/>
      <c r="AA79" s="11"/>
      <c r="AB79" s="11"/>
      <c r="AC79" s="11"/>
      <c r="AD79" s="11"/>
    </row>
    <row r="80" spans="1:30" x14ac:dyDescent="0.25">
      <c r="A80">
        <v>20160405</v>
      </c>
      <c r="B80" t="s">
        <v>114</v>
      </c>
      <c r="C80" s="3" t="s">
        <v>110</v>
      </c>
      <c r="D80" t="s">
        <v>99</v>
      </c>
      <c r="E80" s="6" t="s">
        <v>122</v>
      </c>
      <c r="G80" s="7">
        <v>-58</v>
      </c>
      <c r="H80">
        <v>16405143</v>
      </c>
      <c r="I80">
        <v>-8.8719999999999999</v>
      </c>
      <c r="J80">
        <v>15.948</v>
      </c>
      <c r="K80">
        <v>141.71100000000001</v>
      </c>
      <c r="L80">
        <v>38.963999999999999</v>
      </c>
      <c r="M80">
        <v>41.733700000000013</v>
      </c>
      <c r="O80">
        <v>16405144</v>
      </c>
      <c r="P80">
        <v>16</v>
      </c>
      <c r="Q80">
        <v>151</v>
      </c>
      <c r="R80">
        <f t="shared" si="3"/>
        <v>3.6181790735065413</v>
      </c>
      <c r="S80">
        <v>-55.5</v>
      </c>
      <c r="T80">
        <v>-36.4</v>
      </c>
      <c r="U80">
        <v>19.7</v>
      </c>
      <c r="V80">
        <v>56.099999999999994</v>
      </c>
      <c r="W80">
        <v>0.5</v>
      </c>
      <c r="X80">
        <v>218.79999999999998</v>
      </c>
      <c r="Z80" s="11"/>
      <c r="AA80" s="11"/>
      <c r="AB80" s="11"/>
      <c r="AC80" s="11"/>
      <c r="AD80" s="11"/>
    </row>
    <row r="81" spans="1:30" x14ac:dyDescent="0.25">
      <c r="A81">
        <v>20160225</v>
      </c>
      <c r="B81" t="s">
        <v>116</v>
      </c>
      <c r="C81" s="3" t="s">
        <v>97</v>
      </c>
      <c r="D81" t="s">
        <v>99</v>
      </c>
      <c r="E81" s="6" t="s">
        <v>122</v>
      </c>
      <c r="G81" s="7">
        <v>-69</v>
      </c>
      <c r="H81">
        <v>16225005</v>
      </c>
      <c r="I81">
        <v>15.861000000000001</v>
      </c>
      <c r="J81">
        <v>6.29</v>
      </c>
      <c r="K81">
        <v>160.001</v>
      </c>
      <c r="L81">
        <v>69.77</v>
      </c>
      <c r="M81">
        <v>61.662333333333322</v>
      </c>
      <c r="O81">
        <v>16225006</v>
      </c>
      <c r="P81">
        <v>23</v>
      </c>
      <c r="Q81">
        <v>220</v>
      </c>
      <c r="R81">
        <f t="shared" si="3"/>
        <v>3.5678182791223172</v>
      </c>
      <c r="S81">
        <v>-56.2</v>
      </c>
      <c r="T81">
        <v>-33.799999999999997</v>
      </c>
      <c r="U81">
        <v>19.900000000000002</v>
      </c>
      <c r="V81">
        <v>53.8</v>
      </c>
      <c r="W81">
        <v>0.4</v>
      </c>
      <c r="X81">
        <v>188.29999999999998</v>
      </c>
      <c r="Y81">
        <v>21.7</v>
      </c>
      <c r="Z81" s="11"/>
      <c r="AA81" s="11"/>
      <c r="AB81" s="11"/>
      <c r="AC81" s="12"/>
      <c r="AD81" s="11"/>
    </row>
    <row r="82" spans="1:30" x14ac:dyDescent="0.25">
      <c r="A82">
        <v>20160225</v>
      </c>
      <c r="B82" t="s">
        <v>116</v>
      </c>
      <c r="C82" s="3" t="s">
        <v>97</v>
      </c>
      <c r="D82" t="s">
        <v>99</v>
      </c>
      <c r="E82" s="6" t="s">
        <v>122</v>
      </c>
      <c r="G82" s="7">
        <v>-69</v>
      </c>
      <c r="H82">
        <v>1622515</v>
      </c>
      <c r="I82">
        <v>62.704000000000001</v>
      </c>
      <c r="J82">
        <v>8.0190000000000001</v>
      </c>
      <c r="K82">
        <v>112.845</v>
      </c>
      <c r="L82">
        <v>59.094000000000001</v>
      </c>
      <c r="M82">
        <v>61.662333333333322</v>
      </c>
      <c r="O82">
        <v>16225016</v>
      </c>
      <c r="P82">
        <v>24</v>
      </c>
      <c r="Q82">
        <v>230</v>
      </c>
      <c r="R82">
        <f t="shared" si="3"/>
        <v>3.7299918372642407</v>
      </c>
      <c r="S82">
        <v>-55.7</v>
      </c>
      <c r="T82">
        <v>-36.5</v>
      </c>
      <c r="U82">
        <v>19.400000000000002</v>
      </c>
      <c r="V82">
        <v>55.9</v>
      </c>
      <c r="W82">
        <v>0.5</v>
      </c>
      <c r="X82">
        <v>191</v>
      </c>
      <c r="Y82">
        <v>22.599999999999998</v>
      </c>
      <c r="Z82" s="11"/>
      <c r="AA82" s="11"/>
      <c r="AB82" s="11"/>
      <c r="AC82" s="11"/>
      <c r="AD82" s="11"/>
    </row>
    <row r="83" spans="1:30" x14ac:dyDescent="0.25">
      <c r="A83">
        <v>20160225</v>
      </c>
      <c r="B83" t="s">
        <v>116</v>
      </c>
      <c r="C83" s="3" t="s">
        <v>101</v>
      </c>
      <c r="D83" t="s">
        <v>99</v>
      </c>
      <c r="E83" s="6" t="s">
        <v>122</v>
      </c>
      <c r="G83" s="7">
        <v>-55</v>
      </c>
      <c r="H83">
        <v>16225034</v>
      </c>
      <c r="I83">
        <v>-69.171999999999997</v>
      </c>
      <c r="J83">
        <v>7.2670000000000003</v>
      </c>
      <c r="K83">
        <v>243.75399999999999</v>
      </c>
      <c r="L83">
        <v>54.170999999999999</v>
      </c>
      <c r="M83">
        <v>53.162500000000001</v>
      </c>
      <c r="O83">
        <v>16225035</v>
      </c>
      <c r="P83">
        <v>10</v>
      </c>
      <c r="Q83">
        <v>90</v>
      </c>
      <c r="R83">
        <f t="shared" si="3"/>
        <v>1.6929226428403479</v>
      </c>
      <c r="S83">
        <v>-55</v>
      </c>
      <c r="T83">
        <v>-38.9</v>
      </c>
      <c r="U83">
        <v>21</v>
      </c>
      <c r="V83">
        <v>59.9</v>
      </c>
      <c r="W83">
        <v>0.4</v>
      </c>
      <c r="X83">
        <v>197.4</v>
      </c>
      <c r="Y83">
        <v>32.099999999999994</v>
      </c>
      <c r="Z83" s="11"/>
      <c r="AA83" s="11"/>
      <c r="AB83" s="11"/>
      <c r="AC83" s="11"/>
      <c r="AD83" s="11"/>
    </row>
    <row r="84" spans="1:30" x14ac:dyDescent="0.25">
      <c r="A84">
        <v>20160412</v>
      </c>
      <c r="B84" t="s">
        <v>116</v>
      </c>
      <c r="C84" s="3" t="s">
        <v>97</v>
      </c>
      <c r="D84" t="s">
        <v>99</v>
      </c>
      <c r="E84" s="6" t="s">
        <v>122</v>
      </c>
      <c r="G84" s="7">
        <v>-53</v>
      </c>
      <c r="H84">
        <v>16412016</v>
      </c>
      <c r="I84">
        <v>-14.644</v>
      </c>
      <c r="J84">
        <v>8.9039999999999999</v>
      </c>
      <c r="K84">
        <v>180.53</v>
      </c>
      <c r="L84">
        <v>31.683</v>
      </c>
      <c r="M84">
        <v>33.064</v>
      </c>
      <c r="O84">
        <v>16412017</v>
      </c>
      <c r="P84">
        <v>18</v>
      </c>
      <c r="Q84">
        <v>170</v>
      </c>
      <c r="R84">
        <f t="shared" si="3"/>
        <v>5.1415436728768453</v>
      </c>
      <c r="S84">
        <v>-55.199999999999996</v>
      </c>
      <c r="T84">
        <v>-32.300000000000004</v>
      </c>
      <c r="U84">
        <v>30.700000000000003</v>
      </c>
      <c r="V84">
        <v>63</v>
      </c>
      <c r="W84">
        <v>0.5</v>
      </c>
      <c r="X84">
        <v>209.4</v>
      </c>
      <c r="Y84">
        <v>33.9</v>
      </c>
      <c r="Z84" s="11"/>
      <c r="AA84" s="11"/>
      <c r="AB84" s="11"/>
      <c r="AC84" s="11"/>
      <c r="AD84" s="11"/>
    </row>
    <row r="85" spans="1:30" x14ac:dyDescent="0.25">
      <c r="A85">
        <v>20160412</v>
      </c>
      <c r="B85" t="s">
        <v>116</v>
      </c>
      <c r="C85" s="3" t="s">
        <v>101</v>
      </c>
      <c r="D85" t="s">
        <v>99</v>
      </c>
      <c r="E85" s="6" t="s">
        <v>122</v>
      </c>
      <c r="G85" s="7">
        <v>-58</v>
      </c>
      <c r="H85">
        <v>16412035</v>
      </c>
      <c r="I85">
        <v>-28.763000000000002</v>
      </c>
      <c r="J85">
        <v>10.929</v>
      </c>
      <c r="K85">
        <v>662.31</v>
      </c>
      <c r="L85">
        <v>19.344999999999999</v>
      </c>
      <c r="M85">
        <v>16.291</v>
      </c>
      <c r="O85">
        <v>16412036</v>
      </c>
      <c r="P85">
        <v>12</v>
      </c>
      <c r="Q85">
        <v>111</v>
      </c>
      <c r="R85">
        <f t="shared" si="3"/>
        <v>6.8135780492296361</v>
      </c>
      <c r="S85">
        <v>-53.8</v>
      </c>
      <c r="T85">
        <v>-26.9</v>
      </c>
      <c r="U85">
        <v>30.900000000000002</v>
      </c>
      <c r="V85">
        <v>57.8</v>
      </c>
      <c r="W85">
        <v>0.6</v>
      </c>
      <c r="X85">
        <v>245.4</v>
      </c>
      <c r="Z85" s="11"/>
      <c r="AA85" s="11"/>
      <c r="AB85" s="11"/>
      <c r="AC85" s="11"/>
      <c r="AD85" s="11"/>
    </row>
    <row r="86" spans="1:30" x14ac:dyDescent="0.25">
      <c r="A86">
        <v>20160412</v>
      </c>
      <c r="B86" t="s">
        <v>116</v>
      </c>
      <c r="C86" s="3" t="s">
        <v>101</v>
      </c>
      <c r="D86" t="s">
        <v>99</v>
      </c>
      <c r="E86" s="6" t="s">
        <v>122</v>
      </c>
      <c r="G86" s="7">
        <v>-58</v>
      </c>
      <c r="H86">
        <v>16412048</v>
      </c>
      <c r="I86">
        <v>8.1159999999999997</v>
      </c>
      <c r="J86">
        <v>11.234999999999999</v>
      </c>
      <c r="K86">
        <v>577.53800000000001</v>
      </c>
      <c r="L86">
        <v>17.722999999999999</v>
      </c>
      <c r="M86">
        <v>16.291</v>
      </c>
      <c r="O86">
        <v>16412049</v>
      </c>
      <c r="P86">
        <v>11</v>
      </c>
      <c r="Q86">
        <v>101</v>
      </c>
      <c r="R86">
        <f t="shared" si="3"/>
        <v>6.1997421889386777</v>
      </c>
      <c r="S86">
        <v>-55.800000000000004</v>
      </c>
      <c r="T86">
        <v>-26.700000000000003</v>
      </c>
      <c r="U86">
        <v>30</v>
      </c>
      <c r="V86">
        <v>56.7</v>
      </c>
      <c r="W86">
        <v>0.6</v>
      </c>
      <c r="X86">
        <v>245.7</v>
      </c>
      <c r="Z86" s="11"/>
      <c r="AA86" s="11"/>
      <c r="AB86" s="11"/>
      <c r="AC86" s="11"/>
      <c r="AD86" s="11"/>
    </row>
    <row r="87" spans="1:30" x14ac:dyDescent="0.25">
      <c r="A87">
        <v>20160412</v>
      </c>
      <c r="B87" t="s">
        <v>116</v>
      </c>
      <c r="C87" s="3" t="s">
        <v>102</v>
      </c>
      <c r="D87" t="s">
        <v>99</v>
      </c>
      <c r="E87" s="6" t="s">
        <v>122</v>
      </c>
      <c r="G87" s="7">
        <v>-62</v>
      </c>
      <c r="H87">
        <v>16412063</v>
      </c>
      <c r="I87">
        <v>35.408000000000001</v>
      </c>
      <c r="J87">
        <v>6.2759999999999998</v>
      </c>
      <c r="K87">
        <v>279.50799999999998</v>
      </c>
      <c r="L87">
        <v>48.603000000000002</v>
      </c>
      <c r="M87">
        <v>45.788199999999996</v>
      </c>
      <c r="O87">
        <v>16412064</v>
      </c>
      <c r="P87">
        <v>12</v>
      </c>
      <c r="Q87">
        <v>111</v>
      </c>
      <c r="R87">
        <f t="shared" si="3"/>
        <v>2.4242053629537743</v>
      </c>
      <c r="S87">
        <v>-56.9</v>
      </c>
      <c r="T87">
        <v>-36.700000000000003</v>
      </c>
      <c r="U87">
        <v>32.300000000000004</v>
      </c>
      <c r="V87">
        <v>69</v>
      </c>
      <c r="W87">
        <v>0.5</v>
      </c>
      <c r="X87">
        <v>236.5</v>
      </c>
      <c r="Y87">
        <v>36.4</v>
      </c>
      <c r="Z87" s="11"/>
      <c r="AA87" s="11"/>
      <c r="AB87" s="11"/>
      <c r="AC87" s="11"/>
      <c r="AD87" s="11"/>
    </row>
    <row r="88" spans="1:30" x14ac:dyDescent="0.25">
      <c r="A88">
        <v>20160412</v>
      </c>
      <c r="B88" t="s">
        <v>116</v>
      </c>
      <c r="C88" s="3" t="s">
        <v>102</v>
      </c>
      <c r="D88" t="s">
        <v>99</v>
      </c>
      <c r="E88" s="6" t="s">
        <v>122</v>
      </c>
      <c r="G88" s="7">
        <v>-62</v>
      </c>
      <c r="H88">
        <v>16412074</v>
      </c>
      <c r="I88">
        <v>80.058999999999997</v>
      </c>
      <c r="J88">
        <v>6.8319999999999999</v>
      </c>
      <c r="K88">
        <v>191.13499999999999</v>
      </c>
      <c r="L88">
        <v>43.540999999999997</v>
      </c>
      <c r="M88">
        <v>45.788199999999996</v>
      </c>
      <c r="O88">
        <v>16412075</v>
      </c>
      <c r="P88">
        <v>15</v>
      </c>
      <c r="Q88">
        <v>141</v>
      </c>
      <c r="R88">
        <f t="shared" si="3"/>
        <v>3.0793960015899295</v>
      </c>
      <c r="S88">
        <v>-57.5</v>
      </c>
      <c r="T88">
        <v>-38.5</v>
      </c>
      <c r="U88">
        <v>30.599999999999998</v>
      </c>
      <c r="V88">
        <v>69.099999999999994</v>
      </c>
      <c r="W88">
        <v>0.5</v>
      </c>
      <c r="X88">
        <v>230.4</v>
      </c>
      <c r="Y88">
        <v>27.099999999999998</v>
      </c>
      <c r="Z88" s="11"/>
      <c r="AA88" s="11"/>
      <c r="AB88" s="11"/>
      <c r="AC88" s="11"/>
      <c r="AD88" s="11"/>
    </row>
    <row r="89" spans="1:30" x14ac:dyDescent="0.25">
      <c r="A89">
        <v>20160412</v>
      </c>
      <c r="B89" t="s">
        <v>116</v>
      </c>
      <c r="C89" s="3" t="s">
        <v>103</v>
      </c>
      <c r="D89" t="s">
        <v>99</v>
      </c>
      <c r="E89" s="6" t="s">
        <v>122</v>
      </c>
      <c r="G89" s="7">
        <v>-58</v>
      </c>
      <c r="Z89" s="11"/>
      <c r="AA89" s="11"/>
      <c r="AB89" s="11"/>
      <c r="AC89" s="11"/>
      <c r="AD89" s="11"/>
    </row>
    <row r="90" spans="1:30" x14ac:dyDescent="0.25">
      <c r="A90">
        <v>20160412</v>
      </c>
      <c r="B90" t="s">
        <v>116</v>
      </c>
      <c r="C90" s="3" t="s">
        <v>107</v>
      </c>
      <c r="D90" t="s">
        <v>99</v>
      </c>
      <c r="E90" s="6" t="s">
        <v>122</v>
      </c>
      <c r="G90" s="7">
        <v>-47</v>
      </c>
      <c r="H90">
        <v>16412117</v>
      </c>
      <c r="I90">
        <v>-13.167</v>
      </c>
      <c r="J90">
        <v>13.432</v>
      </c>
      <c r="K90">
        <v>247.33500000000001</v>
      </c>
      <c r="L90">
        <v>35.366</v>
      </c>
      <c r="M90">
        <v>35.142874999999997</v>
      </c>
      <c r="O90">
        <v>16412118</v>
      </c>
      <c r="P90">
        <v>8</v>
      </c>
      <c r="Q90">
        <v>70</v>
      </c>
      <c r="R90">
        <f>Q90/M90</f>
        <v>1.9918689065706778</v>
      </c>
      <c r="S90">
        <v>-54</v>
      </c>
      <c r="T90">
        <v>-39.4</v>
      </c>
      <c r="U90">
        <v>21</v>
      </c>
      <c r="V90">
        <v>60.3</v>
      </c>
      <c r="W90">
        <v>0.6</v>
      </c>
      <c r="X90">
        <v>166.9</v>
      </c>
      <c r="Y90">
        <v>27.799999999999997</v>
      </c>
      <c r="Z90" s="11"/>
      <c r="AA90" s="11"/>
      <c r="AB90" s="11"/>
      <c r="AC90" s="11"/>
      <c r="AD90" s="11"/>
    </row>
    <row r="91" spans="1:30" x14ac:dyDescent="0.25">
      <c r="A91">
        <v>20160412</v>
      </c>
      <c r="B91" t="s">
        <v>116</v>
      </c>
      <c r="C91" s="3" t="s">
        <v>104</v>
      </c>
      <c r="D91" t="s">
        <v>99</v>
      </c>
      <c r="E91" s="6" t="s">
        <v>122</v>
      </c>
      <c r="G91" s="7">
        <v>-48</v>
      </c>
      <c r="H91">
        <v>16412140</v>
      </c>
      <c r="I91">
        <v>-5.6150000000000002</v>
      </c>
      <c r="J91">
        <v>10.574999999999999</v>
      </c>
      <c r="K91">
        <v>190.483</v>
      </c>
      <c r="L91">
        <v>49.341000000000001</v>
      </c>
      <c r="M91">
        <v>49.930749999999996</v>
      </c>
      <c r="O91">
        <v>16412141</v>
      </c>
      <c r="P91">
        <v>14</v>
      </c>
      <c r="Q91">
        <v>130</v>
      </c>
      <c r="R91">
        <f>Q91/M91</f>
        <v>2.6036059943021086</v>
      </c>
      <c r="S91">
        <v>-56.7</v>
      </c>
      <c r="T91">
        <v>-39.699999999999996</v>
      </c>
      <c r="U91">
        <v>24</v>
      </c>
      <c r="V91">
        <v>63.8</v>
      </c>
      <c r="W91">
        <v>0.5</v>
      </c>
      <c r="X91">
        <v>192.89999999999998</v>
      </c>
      <c r="Y91">
        <v>32.4</v>
      </c>
      <c r="Z91" s="11"/>
      <c r="AA91" s="11"/>
      <c r="AB91" s="11"/>
      <c r="AC91" s="11"/>
      <c r="AD91" s="11"/>
    </row>
    <row r="92" spans="1:30" x14ac:dyDescent="0.25">
      <c r="A92">
        <v>20160412</v>
      </c>
      <c r="B92" t="s">
        <v>116</v>
      </c>
      <c r="C92" s="3" t="s">
        <v>115</v>
      </c>
      <c r="D92" t="s">
        <v>99</v>
      </c>
      <c r="E92" s="6" t="s">
        <v>122</v>
      </c>
      <c r="G92" s="7">
        <v>-54</v>
      </c>
      <c r="H92">
        <v>16412157</v>
      </c>
      <c r="I92">
        <v>-7.76</v>
      </c>
      <c r="J92">
        <v>17.003</v>
      </c>
      <c r="K92">
        <v>301.517</v>
      </c>
      <c r="L92">
        <v>27.417000000000002</v>
      </c>
      <c r="M92">
        <v>27.538777777777778</v>
      </c>
      <c r="O92">
        <v>16412158</v>
      </c>
      <c r="P92">
        <v>6</v>
      </c>
      <c r="Q92">
        <v>50</v>
      </c>
      <c r="R92">
        <f>Q92/M92</f>
        <v>1.8156216083179677</v>
      </c>
      <c r="S92">
        <v>-52.900000000000006</v>
      </c>
      <c r="T92">
        <v>-39.699999999999996</v>
      </c>
      <c r="U92">
        <v>17.600000000000001</v>
      </c>
      <c r="V92">
        <v>57.3</v>
      </c>
      <c r="W92">
        <v>0.6</v>
      </c>
      <c r="X92">
        <v>194.39999999999998</v>
      </c>
      <c r="Z92" s="11"/>
      <c r="AA92" s="11"/>
      <c r="AB92" s="11"/>
      <c r="AC92" s="11"/>
      <c r="AD92" s="11"/>
    </row>
    <row r="93" spans="1:30" x14ac:dyDescent="0.25">
      <c r="A93">
        <v>20160412</v>
      </c>
      <c r="B93" t="s">
        <v>116</v>
      </c>
      <c r="C93" s="3" t="s">
        <v>110</v>
      </c>
      <c r="D93" t="s">
        <v>99</v>
      </c>
      <c r="E93" s="6" t="s">
        <v>122</v>
      </c>
      <c r="G93" s="7">
        <v>-55</v>
      </c>
      <c r="H93">
        <v>16412188</v>
      </c>
      <c r="I93">
        <v>-14.385999999999999</v>
      </c>
      <c r="J93">
        <v>9.3960000000000008</v>
      </c>
      <c r="K93">
        <v>388.32900000000001</v>
      </c>
      <c r="L93">
        <v>24.202999999999999</v>
      </c>
      <c r="M93">
        <v>23.626769230769234</v>
      </c>
      <c r="O93">
        <v>16412189</v>
      </c>
      <c r="P93">
        <v>5</v>
      </c>
      <c r="Q93">
        <v>40</v>
      </c>
      <c r="R93">
        <f>Q93/M93</f>
        <v>1.692994907992238</v>
      </c>
      <c r="S93">
        <v>-53.5</v>
      </c>
      <c r="T93">
        <v>-39.300000000000004</v>
      </c>
      <c r="U93">
        <v>29.8</v>
      </c>
      <c r="V93">
        <v>69.099999999999994</v>
      </c>
      <c r="W93">
        <v>0.5</v>
      </c>
      <c r="X93">
        <v>232.2</v>
      </c>
      <c r="Y93">
        <v>24.1</v>
      </c>
      <c r="Z93" s="11"/>
      <c r="AA93" s="11"/>
      <c r="AB93" s="11"/>
      <c r="AC93" s="11"/>
      <c r="AD93" s="11"/>
    </row>
    <row r="94" spans="1:30" x14ac:dyDescent="0.25">
      <c r="A94">
        <v>20160412</v>
      </c>
      <c r="B94" t="s">
        <v>116</v>
      </c>
      <c r="C94" s="3" t="s">
        <v>111</v>
      </c>
      <c r="D94" t="s">
        <v>99</v>
      </c>
      <c r="E94" s="6" t="s">
        <v>122</v>
      </c>
      <c r="G94" s="7">
        <v>-50</v>
      </c>
      <c r="Z94" s="11"/>
      <c r="AA94" s="11"/>
      <c r="AB94" s="11"/>
      <c r="AC94" s="11"/>
      <c r="AD94" s="11"/>
    </row>
    <row r="95" spans="1:30" x14ac:dyDescent="0.25">
      <c r="A95">
        <v>20160324</v>
      </c>
      <c r="B95" t="s">
        <v>117</v>
      </c>
      <c r="C95" s="3" t="s">
        <v>103</v>
      </c>
      <c r="D95" t="s">
        <v>99</v>
      </c>
      <c r="E95" s="6" t="s">
        <v>122</v>
      </c>
      <c r="G95" s="7">
        <v>-60</v>
      </c>
      <c r="H95">
        <v>16324052</v>
      </c>
      <c r="I95">
        <v>-27.832000000000001</v>
      </c>
      <c r="J95">
        <v>12.45</v>
      </c>
      <c r="K95">
        <v>202.77600000000001</v>
      </c>
      <c r="L95">
        <v>53.216999999999999</v>
      </c>
      <c r="M95">
        <v>52.191333333333333</v>
      </c>
      <c r="O95">
        <v>16324053</v>
      </c>
      <c r="P95">
        <v>13</v>
      </c>
      <c r="Q95">
        <v>120</v>
      </c>
      <c r="R95">
        <f>Q95/M95</f>
        <v>2.2992323118780895</v>
      </c>
      <c r="S95">
        <v>-54.699999999999996</v>
      </c>
      <c r="T95">
        <v>-37.199999999999996</v>
      </c>
      <c r="U95">
        <v>21.4</v>
      </c>
      <c r="V95">
        <v>58.6</v>
      </c>
      <c r="W95">
        <v>0.5</v>
      </c>
      <c r="X95">
        <v>204.2</v>
      </c>
      <c r="Y95">
        <v>29.6</v>
      </c>
      <c r="Z95" s="11"/>
      <c r="AA95" s="11"/>
      <c r="AB95" s="11"/>
      <c r="AC95" s="11"/>
      <c r="AD95" s="11"/>
    </row>
    <row r="96" spans="1:30" x14ac:dyDescent="0.25">
      <c r="A96">
        <v>20160324</v>
      </c>
      <c r="B96" t="s">
        <v>117</v>
      </c>
      <c r="C96" s="3" t="s">
        <v>102</v>
      </c>
      <c r="D96" t="s">
        <v>99</v>
      </c>
      <c r="E96" s="6" t="s">
        <v>122</v>
      </c>
      <c r="G96" s="7">
        <v>-46</v>
      </c>
      <c r="Z96" s="11"/>
      <c r="AA96" s="11"/>
      <c r="AB96" s="11"/>
      <c r="AC96" s="11"/>
      <c r="AD96" s="11"/>
    </row>
    <row r="97" spans="1:30" x14ac:dyDescent="0.25">
      <c r="A97">
        <v>20160324</v>
      </c>
      <c r="B97" t="s">
        <v>117</v>
      </c>
      <c r="C97" s="3" t="s">
        <v>107</v>
      </c>
      <c r="D97" t="s">
        <v>99</v>
      </c>
      <c r="E97" s="6" t="s">
        <v>122</v>
      </c>
      <c r="G97" s="7">
        <v>-66</v>
      </c>
      <c r="H97">
        <v>16324061</v>
      </c>
      <c r="I97">
        <v>18.241</v>
      </c>
      <c r="J97">
        <v>18.100999999999999</v>
      </c>
      <c r="K97">
        <v>321.24700000000001</v>
      </c>
      <c r="L97">
        <v>39.899000000000001</v>
      </c>
      <c r="M97">
        <v>36.982333333333337</v>
      </c>
      <c r="O97">
        <v>16324062</v>
      </c>
      <c r="P97">
        <v>12</v>
      </c>
      <c r="Q97">
        <v>110</v>
      </c>
      <c r="R97">
        <f>Q97/M97</f>
        <v>2.9743931787249767</v>
      </c>
      <c r="S97">
        <v>-55.944299999999998</v>
      </c>
      <c r="T97">
        <v>-37.231400000000001</v>
      </c>
      <c r="U97">
        <v>11.230499999999999</v>
      </c>
      <c r="V97">
        <v>48.4619</v>
      </c>
      <c r="W97">
        <v>0.65</v>
      </c>
      <c r="X97">
        <v>145.56890000000001</v>
      </c>
      <c r="Z97" s="11"/>
      <c r="AA97" s="11"/>
      <c r="AB97" s="11"/>
      <c r="AC97" s="11"/>
      <c r="AD97" s="11"/>
    </row>
    <row r="98" spans="1:30" x14ac:dyDescent="0.25">
      <c r="A98">
        <v>20160324</v>
      </c>
      <c r="B98" t="s">
        <v>117</v>
      </c>
      <c r="C98" s="3" t="s">
        <v>115</v>
      </c>
      <c r="D98" t="s">
        <v>99</v>
      </c>
      <c r="E98" s="6" t="s">
        <v>122</v>
      </c>
      <c r="G98" s="7">
        <v>-54</v>
      </c>
      <c r="H98">
        <v>16324092</v>
      </c>
      <c r="I98">
        <v>1.5029999999999999</v>
      </c>
      <c r="J98">
        <v>18.533000000000001</v>
      </c>
      <c r="K98">
        <v>129.50800000000001</v>
      </c>
      <c r="L98">
        <v>46.875999999999998</v>
      </c>
      <c r="M98">
        <v>52.094999999999999</v>
      </c>
      <c r="O98">
        <v>16324093</v>
      </c>
      <c r="P98">
        <v>15</v>
      </c>
      <c r="Q98">
        <v>140</v>
      </c>
      <c r="R98">
        <f>Q98/M98</f>
        <v>2.6873980228428831</v>
      </c>
      <c r="S98">
        <v>-52.1</v>
      </c>
      <c r="T98">
        <v>-33.4</v>
      </c>
      <c r="U98">
        <v>10</v>
      </c>
      <c r="V98">
        <v>43.5</v>
      </c>
      <c r="W98">
        <v>0.5</v>
      </c>
      <c r="X98">
        <v>157.5</v>
      </c>
      <c r="Z98" s="11"/>
      <c r="AA98" s="11"/>
      <c r="AB98" s="11"/>
      <c r="AC98" s="11"/>
      <c r="AD98" s="11"/>
    </row>
    <row r="99" spans="1:30" x14ac:dyDescent="0.25">
      <c r="A99">
        <v>20160324</v>
      </c>
      <c r="B99" t="s">
        <v>117</v>
      </c>
      <c r="C99" s="3" t="s">
        <v>110</v>
      </c>
      <c r="D99" t="s">
        <v>99</v>
      </c>
      <c r="E99" s="6" t="s">
        <v>122</v>
      </c>
      <c r="G99" s="7">
        <v>-58</v>
      </c>
      <c r="H99">
        <v>16324101</v>
      </c>
      <c r="I99">
        <v>57.213000000000001</v>
      </c>
      <c r="J99">
        <v>8.2620000000000005</v>
      </c>
      <c r="K99">
        <v>115.46299999999999</v>
      </c>
      <c r="L99">
        <v>52.353999999999999</v>
      </c>
      <c r="M99">
        <v>47.530099999999997</v>
      </c>
      <c r="O99">
        <v>16324102</v>
      </c>
      <c r="P99">
        <v>19</v>
      </c>
      <c r="Q99">
        <v>180</v>
      </c>
      <c r="R99">
        <f>Q99/M99</f>
        <v>3.7870738752916573</v>
      </c>
      <c r="S99">
        <v>-53.5</v>
      </c>
      <c r="T99">
        <v>-40.200000000000003</v>
      </c>
      <c r="U99">
        <v>23.5</v>
      </c>
      <c r="V99">
        <v>63.70000000000001</v>
      </c>
      <c r="W99">
        <v>0.5</v>
      </c>
      <c r="X99">
        <v>204.8</v>
      </c>
      <c r="Y99">
        <v>31.5</v>
      </c>
      <c r="Z99" s="11"/>
      <c r="AA99" s="11"/>
      <c r="AB99" s="11"/>
      <c r="AC99" s="11"/>
      <c r="AD99" s="11"/>
    </row>
    <row r="100" spans="1:30" x14ac:dyDescent="0.25">
      <c r="A100">
        <v>20160324</v>
      </c>
      <c r="B100" t="s">
        <v>117</v>
      </c>
      <c r="C100" s="3" t="s">
        <v>110</v>
      </c>
      <c r="D100" t="s">
        <v>99</v>
      </c>
      <c r="E100" s="6" t="s">
        <v>122</v>
      </c>
      <c r="G100" s="7">
        <v>-58</v>
      </c>
      <c r="H100">
        <v>16324113</v>
      </c>
      <c r="I100">
        <v>8.4828434491241484</v>
      </c>
      <c r="J100">
        <v>98.546999999999997</v>
      </c>
      <c r="M100">
        <v>47.530099999999997</v>
      </c>
      <c r="O100">
        <v>16324114</v>
      </c>
      <c r="P100">
        <v>9</v>
      </c>
      <c r="Q100">
        <v>80</v>
      </c>
      <c r="R100">
        <f>Q100/M100</f>
        <v>1.6831439445740699</v>
      </c>
      <c r="S100">
        <v>-54.9</v>
      </c>
      <c r="T100">
        <v>-43</v>
      </c>
      <c r="U100">
        <v>22.9</v>
      </c>
      <c r="V100">
        <v>65.900000000000006</v>
      </c>
      <c r="W100">
        <v>0.6</v>
      </c>
      <c r="X100">
        <v>171.5</v>
      </c>
      <c r="Y100">
        <v>36.299999999999997</v>
      </c>
      <c r="Z100" s="11"/>
      <c r="AA100" s="11"/>
      <c r="AB100" s="11"/>
      <c r="AC100" s="11"/>
      <c r="AD100" s="11"/>
    </row>
    <row r="101" spans="1:30" x14ac:dyDescent="0.25">
      <c r="A101">
        <v>20160407</v>
      </c>
      <c r="B101" t="s">
        <v>109</v>
      </c>
      <c r="C101" s="3" t="s">
        <v>97</v>
      </c>
      <c r="D101" t="s">
        <v>99</v>
      </c>
      <c r="E101" s="6" t="s">
        <v>122</v>
      </c>
      <c r="G101" s="7">
        <v>-53</v>
      </c>
      <c r="Z101" s="11"/>
      <c r="AA101" s="11"/>
      <c r="AB101" s="11"/>
      <c r="AC101" s="11"/>
      <c r="AD101" s="11"/>
    </row>
    <row r="102" spans="1:30" x14ac:dyDescent="0.25">
      <c r="A102">
        <v>20160407</v>
      </c>
      <c r="B102" t="s">
        <v>109</v>
      </c>
      <c r="C102" s="3" t="s">
        <v>101</v>
      </c>
      <c r="D102" t="s">
        <v>99</v>
      </c>
      <c r="E102" s="6" t="s">
        <v>122</v>
      </c>
      <c r="G102" s="7">
        <v>-70</v>
      </c>
      <c r="H102">
        <v>16407022</v>
      </c>
      <c r="I102">
        <v>56.804000000000002</v>
      </c>
      <c r="J102">
        <v>6.3710000000000004</v>
      </c>
      <c r="K102">
        <v>121.018</v>
      </c>
      <c r="L102">
        <v>67.290000000000006</v>
      </c>
      <c r="M102">
        <v>66.482583333333324</v>
      </c>
      <c r="O102">
        <v>16407023</v>
      </c>
      <c r="P102">
        <v>12</v>
      </c>
      <c r="Q102">
        <v>110</v>
      </c>
      <c r="R102">
        <f>Q102/M102</f>
        <v>1.6545686777614692</v>
      </c>
      <c r="S102">
        <v>-54.300000000000004</v>
      </c>
      <c r="T102">
        <v>-42.1</v>
      </c>
      <c r="U102">
        <v>27.7</v>
      </c>
      <c r="V102">
        <v>69.900000000000006</v>
      </c>
      <c r="W102">
        <v>0.5</v>
      </c>
      <c r="X102">
        <v>230.4</v>
      </c>
      <c r="Y102">
        <v>31</v>
      </c>
      <c r="Z102" s="11"/>
      <c r="AA102" s="11"/>
      <c r="AB102" s="11"/>
      <c r="AC102" s="11"/>
      <c r="AD102" s="11"/>
    </row>
    <row r="103" spans="1:30" x14ac:dyDescent="0.25">
      <c r="A103">
        <v>20160407</v>
      </c>
      <c r="B103" t="s">
        <v>109</v>
      </c>
      <c r="C103" s="3" t="s">
        <v>101</v>
      </c>
      <c r="D103" t="s">
        <v>99</v>
      </c>
      <c r="E103" s="6" t="s">
        <v>122</v>
      </c>
      <c r="G103" s="7">
        <v>-70</v>
      </c>
      <c r="H103">
        <v>16407031</v>
      </c>
      <c r="I103">
        <v>26.623000000000001</v>
      </c>
      <c r="J103">
        <v>6.5830000000000002</v>
      </c>
      <c r="K103">
        <v>107.53700000000001</v>
      </c>
      <c r="L103">
        <v>67.852999999999994</v>
      </c>
      <c r="M103">
        <v>66.482583333333324</v>
      </c>
      <c r="O103">
        <v>16407032</v>
      </c>
      <c r="P103">
        <v>13</v>
      </c>
      <c r="Q103">
        <v>121</v>
      </c>
      <c r="R103">
        <f>Q103/M103</f>
        <v>1.820025545537616</v>
      </c>
      <c r="S103">
        <v>-53.6</v>
      </c>
      <c r="T103">
        <v>-44.699999999999996</v>
      </c>
      <c r="U103">
        <v>25.6</v>
      </c>
      <c r="V103">
        <v>70.3</v>
      </c>
      <c r="W103">
        <v>0.5</v>
      </c>
      <c r="X103">
        <v>228.6</v>
      </c>
      <c r="Y103">
        <v>28.299999999999997</v>
      </c>
      <c r="Z103" s="11"/>
      <c r="AA103" s="11"/>
      <c r="AB103" s="11"/>
      <c r="AC103" s="11"/>
      <c r="AD103" s="11"/>
    </row>
    <row r="104" spans="1:30" x14ac:dyDescent="0.25">
      <c r="A104">
        <v>20160407</v>
      </c>
      <c r="B104" t="s">
        <v>109</v>
      </c>
      <c r="C104" s="3" t="s">
        <v>102</v>
      </c>
      <c r="D104" t="s">
        <v>99</v>
      </c>
      <c r="E104" s="6" t="s">
        <v>122</v>
      </c>
      <c r="G104" s="7">
        <v>-57</v>
      </c>
      <c r="H104">
        <v>16407064</v>
      </c>
      <c r="I104">
        <v>-9.1349999999999998</v>
      </c>
      <c r="J104">
        <v>9.0510000000000002</v>
      </c>
      <c r="K104">
        <v>124.78100000000001</v>
      </c>
      <c r="L104">
        <v>56.720999999999997</v>
      </c>
      <c r="M104">
        <v>57.498125000000002</v>
      </c>
      <c r="O104">
        <v>16407068</v>
      </c>
      <c r="P104">
        <v>20</v>
      </c>
      <c r="Q104">
        <v>190</v>
      </c>
      <c r="R104">
        <f>Q104/M104</f>
        <v>3.3044555800732631</v>
      </c>
      <c r="S104">
        <v>-57.1</v>
      </c>
      <c r="T104">
        <v>-32.700000000000003</v>
      </c>
      <c r="U104">
        <v>33.9</v>
      </c>
      <c r="V104">
        <v>66.600000000000009</v>
      </c>
      <c r="W104">
        <v>0.6</v>
      </c>
      <c r="X104">
        <v>227.39999999999998</v>
      </c>
      <c r="Y104">
        <v>4.1000000000000005</v>
      </c>
      <c r="Z104" s="11"/>
      <c r="AA104" s="11"/>
      <c r="AB104" s="11"/>
      <c r="AC104" s="11"/>
      <c r="AD104" s="11"/>
    </row>
    <row r="105" spans="1:30" x14ac:dyDescent="0.25">
      <c r="A105">
        <v>20160407</v>
      </c>
      <c r="B105" t="s">
        <v>109</v>
      </c>
      <c r="C105" s="3" t="s">
        <v>103</v>
      </c>
      <c r="D105" t="s">
        <v>99</v>
      </c>
      <c r="E105" s="6" t="s">
        <v>122</v>
      </c>
      <c r="G105" s="7">
        <v>-56</v>
      </c>
      <c r="H105">
        <v>16407090</v>
      </c>
      <c r="I105">
        <v>46.152000000000001</v>
      </c>
      <c r="J105">
        <v>7.9820000000000002</v>
      </c>
      <c r="K105">
        <v>123.843</v>
      </c>
      <c r="L105">
        <v>56.167999999999999</v>
      </c>
      <c r="M105">
        <v>57.639500000000005</v>
      </c>
      <c r="O105">
        <v>16407091</v>
      </c>
      <c r="P105">
        <v>10</v>
      </c>
      <c r="Q105">
        <v>90</v>
      </c>
      <c r="R105">
        <f>Q105/M105</f>
        <v>1.5614292282202307</v>
      </c>
      <c r="S105">
        <v>-55</v>
      </c>
      <c r="T105">
        <v>-42</v>
      </c>
      <c r="U105">
        <v>28.6</v>
      </c>
      <c r="V105">
        <v>70.599999999999994</v>
      </c>
      <c r="W105">
        <v>0.6</v>
      </c>
      <c r="X105">
        <v>189.20000000000002</v>
      </c>
      <c r="Y105">
        <v>27.5</v>
      </c>
      <c r="Z105" s="11"/>
      <c r="AA105" s="11"/>
      <c r="AB105" s="11"/>
      <c r="AC105" s="11"/>
      <c r="AD105" s="11"/>
    </row>
    <row r="106" spans="1:30" x14ac:dyDescent="0.25">
      <c r="A106">
        <v>20160407</v>
      </c>
      <c r="B106" t="s">
        <v>109</v>
      </c>
      <c r="C106" s="3" t="s">
        <v>107</v>
      </c>
      <c r="D106" t="s">
        <v>99</v>
      </c>
      <c r="E106" s="6" t="s">
        <v>122</v>
      </c>
      <c r="G106" s="7">
        <v>-51</v>
      </c>
      <c r="H106">
        <v>16407117</v>
      </c>
      <c r="I106">
        <v>-4.8689999999999998</v>
      </c>
      <c r="J106">
        <v>9.3510000000000009</v>
      </c>
      <c r="K106">
        <v>212.33799999999999</v>
      </c>
      <c r="L106">
        <v>35.130000000000003</v>
      </c>
      <c r="M106">
        <v>34.190950000000001</v>
      </c>
      <c r="O106">
        <v>16407118</v>
      </c>
      <c r="P106">
        <v>7</v>
      </c>
      <c r="Q106">
        <v>60</v>
      </c>
      <c r="R106">
        <f>Q106/M106</f>
        <v>1.754850333202207</v>
      </c>
      <c r="S106">
        <v>-52.3</v>
      </c>
      <c r="T106">
        <v>-40.700000000000003</v>
      </c>
      <c r="U106">
        <v>25</v>
      </c>
      <c r="V106">
        <v>65.699999999999989</v>
      </c>
      <c r="W106">
        <v>0.5</v>
      </c>
      <c r="X106">
        <v>183.10000000000002</v>
      </c>
      <c r="Y106">
        <v>33.4</v>
      </c>
      <c r="Z106" s="11"/>
      <c r="AA106" s="11"/>
      <c r="AB106" s="11"/>
      <c r="AC106" s="11"/>
      <c r="AD106" s="11"/>
    </row>
    <row r="107" spans="1:30" x14ac:dyDescent="0.25">
      <c r="A107">
        <v>20160407</v>
      </c>
      <c r="B107" t="s">
        <v>109</v>
      </c>
      <c r="C107" s="3" t="s">
        <v>104</v>
      </c>
      <c r="D107" t="s">
        <v>99</v>
      </c>
      <c r="E107" s="6" t="s">
        <v>122</v>
      </c>
      <c r="G107" s="7">
        <v>-53</v>
      </c>
      <c r="Z107" s="11"/>
      <c r="AA107" s="11"/>
      <c r="AB107" s="11"/>
      <c r="AC107" s="11"/>
      <c r="AD107" s="11"/>
    </row>
    <row r="108" spans="1:30" x14ac:dyDescent="0.25">
      <c r="A108">
        <v>20160407</v>
      </c>
      <c r="B108" t="s">
        <v>109</v>
      </c>
      <c r="C108" s="3" t="s">
        <v>110</v>
      </c>
      <c r="D108" t="s">
        <v>99</v>
      </c>
      <c r="E108" s="6" t="s">
        <v>122</v>
      </c>
      <c r="G108" s="7">
        <v>-68</v>
      </c>
      <c r="H108">
        <v>16407171</v>
      </c>
      <c r="I108">
        <v>8.923</v>
      </c>
      <c r="J108">
        <v>13.832000000000001</v>
      </c>
      <c r="K108">
        <v>328.822</v>
      </c>
      <c r="L108">
        <v>42.405999999999999</v>
      </c>
      <c r="M108">
        <v>38.171999999999997</v>
      </c>
      <c r="O108">
        <v>16407172</v>
      </c>
      <c r="P108">
        <v>9</v>
      </c>
      <c r="Q108">
        <v>80</v>
      </c>
      <c r="R108">
        <f t="shared" ref="R108:R113" si="4">Q108/M108</f>
        <v>2.0957770093262078</v>
      </c>
      <c r="S108">
        <v>-53.699999999999996</v>
      </c>
      <c r="T108">
        <v>-38.699999999999996</v>
      </c>
      <c r="U108">
        <v>25.4</v>
      </c>
      <c r="V108">
        <v>64.100000000000009</v>
      </c>
      <c r="W108">
        <v>0.6</v>
      </c>
      <c r="X108">
        <v>216.70000000000002</v>
      </c>
      <c r="Y108">
        <v>29.9</v>
      </c>
      <c r="Z108" s="11"/>
      <c r="AA108" s="11"/>
      <c r="AB108" s="11"/>
      <c r="AC108" s="11"/>
      <c r="AD108" s="11"/>
    </row>
    <row r="109" spans="1:30" x14ac:dyDescent="0.25">
      <c r="A109">
        <v>20160407</v>
      </c>
      <c r="B109" t="s">
        <v>109</v>
      </c>
      <c r="C109" s="3" t="s">
        <v>111</v>
      </c>
      <c r="D109" t="s">
        <v>99</v>
      </c>
      <c r="E109" s="6" t="s">
        <v>122</v>
      </c>
      <c r="G109" s="7">
        <v>-67</v>
      </c>
      <c r="H109">
        <v>16407197</v>
      </c>
      <c r="I109">
        <v>85.055999999999997</v>
      </c>
      <c r="J109">
        <v>6.883</v>
      </c>
      <c r="K109">
        <v>116.069</v>
      </c>
      <c r="L109">
        <v>50.63</v>
      </c>
      <c r="M109">
        <v>48.237727272727277</v>
      </c>
      <c r="O109">
        <v>16407198</v>
      </c>
      <c r="P109">
        <v>14</v>
      </c>
      <c r="Q109">
        <v>131</v>
      </c>
      <c r="R109">
        <f t="shared" si="4"/>
        <v>2.7157166683942218</v>
      </c>
      <c r="S109">
        <v>-57.4</v>
      </c>
      <c r="T109">
        <v>-42.2</v>
      </c>
      <c r="U109">
        <v>25.6</v>
      </c>
      <c r="V109">
        <v>67.8</v>
      </c>
      <c r="W109">
        <v>0.5</v>
      </c>
      <c r="X109">
        <v>195.3</v>
      </c>
      <c r="Y109">
        <v>32.9</v>
      </c>
      <c r="Z109" s="11"/>
      <c r="AA109" s="11"/>
      <c r="AB109" s="11"/>
      <c r="AC109" s="11"/>
      <c r="AD109" s="11"/>
    </row>
    <row r="110" spans="1:30" x14ac:dyDescent="0.25">
      <c r="A110">
        <v>20160203</v>
      </c>
      <c r="B110" t="s">
        <v>118</v>
      </c>
      <c r="C110" s="3" t="s">
        <v>97</v>
      </c>
      <c r="D110" t="s">
        <v>99</v>
      </c>
      <c r="E110" s="6" t="s">
        <v>122</v>
      </c>
      <c r="H110">
        <v>16302005</v>
      </c>
      <c r="I110">
        <v>-38.457999999999998</v>
      </c>
      <c r="J110">
        <v>8.5069999999999997</v>
      </c>
      <c r="K110">
        <v>308.72500000000002</v>
      </c>
      <c r="L110">
        <v>43.448</v>
      </c>
      <c r="M110">
        <v>43.269416666666672</v>
      </c>
      <c r="O110">
        <v>16302006</v>
      </c>
      <c r="P110">
        <v>8</v>
      </c>
      <c r="Q110">
        <v>70</v>
      </c>
      <c r="R110">
        <f t="shared" si="4"/>
        <v>1.6177708273549638</v>
      </c>
      <c r="S110">
        <v>-52.8</v>
      </c>
      <c r="T110">
        <v>-38.1</v>
      </c>
      <c r="U110">
        <v>21.5</v>
      </c>
      <c r="V110">
        <v>59.6</v>
      </c>
      <c r="W110">
        <v>0.5</v>
      </c>
      <c r="X110">
        <v>231.3</v>
      </c>
      <c r="Y110">
        <v>28.6</v>
      </c>
      <c r="Z110" s="11"/>
      <c r="AA110" s="11"/>
      <c r="AB110" s="11"/>
      <c r="AC110" s="11"/>
      <c r="AD110" s="11"/>
    </row>
    <row r="111" spans="1:30" x14ac:dyDescent="0.25">
      <c r="A111">
        <v>20160203</v>
      </c>
      <c r="B111" t="s">
        <v>118</v>
      </c>
      <c r="C111" s="3" t="s">
        <v>97</v>
      </c>
      <c r="D111" t="s">
        <v>99</v>
      </c>
      <c r="E111" s="6" t="s">
        <v>122</v>
      </c>
      <c r="H111">
        <v>1602013</v>
      </c>
      <c r="I111">
        <v>-66.438000000000002</v>
      </c>
      <c r="J111">
        <v>8.5190000000000001</v>
      </c>
      <c r="K111">
        <v>234.83</v>
      </c>
      <c r="L111">
        <v>43.975999999999999</v>
      </c>
      <c r="M111">
        <v>43.269416666666672</v>
      </c>
      <c r="O111">
        <v>1630214</v>
      </c>
      <c r="P111">
        <v>8</v>
      </c>
      <c r="Q111">
        <v>70</v>
      </c>
      <c r="R111">
        <f t="shared" si="4"/>
        <v>1.6177708273549638</v>
      </c>
      <c r="S111">
        <v>-52.3</v>
      </c>
      <c r="T111">
        <v>-39.300000000000004</v>
      </c>
      <c r="U111">
        <v>21.1</v>
      </c>
      <c r="V111">
        <v>60.3</v>
      </c>
      <c r="W111">
        <v>0.5</v>
      </c>
      <c r="X111">
        <v>214.5</v>
      </c>
      <c r="Y111">
        <v>31.8</v>
      </c>
      <c r="Z111" s="11"/>
      <c r="AA111" s="11"/>
      <c r="AB111" s="11"/>
      <c r="AC111" s="11"/>
      <c r="AD111" s="11"/>
    </row>
    <row r="112" spans="1:30" x14ac:dyDescent="0.25">
      <c r="A112">
        <v>20160203</v>
      </c>
      <c r="B112" t="s">
        <v>118</v>
      </c>
      <c r="C112" s="3" t="s">
        <v>102</v>
      </c>
      <c r="D112" t="s">
        <v>99</v>
      </c>
      <c r="E112" s="6" t="s">
        <v>122</v>
      </c>
      <c r="G112" s="7">
        <v>-53</v>
      </c>
      <c r="H112">
        <v>16302051</v>
      </c>
      <c r="I112">
        <v>-16.13</v>
      </c>
      <c r="J112">
        <v>8.9410000000000007</v>
      </c>
      <c r="K112">
        <v>230.42</v>
      </c>
      <c r="L112">
        <v>42.451000000000001</v>
      </c>
      <c r="M112">
        <v>40.232399999999998</v>
      </c>
      <c r="O112">
        <v>16302054</v>
      </c>
      <c r="P112">
        <v>11</v>
      </c>
      <c r="Q112">
        <v>100</v>
      </c>
      <c r="R112">
        <f t="shared" si="4"/>
        <v>2.4855589027748781</v>
      </c>
      <c r="S112">
        <v>-53.5</v>
      </c>
      <c r="T112">
        <v>-35.5</v>
      </c>
      <c r="U112">
        <v>23.599999999999998</v>
      </c>
      <c r="V112">
        <v>59.1</v>
      </c>
      <c r="W112">
        <v>0.4</v>
      </c>
      <c r="X112">
        <v>281.7</v>
      </c>
      <c r="Z112" s="11"/>
      <c r="AA112" s="11"/>
      <c r="AB112" s="11"/>
      <c r="AC112" s="11"/>
      <c r="AD112" s="11"/>
    </row>
    <row r="113" spans="1:30" x14ac:dyDescent="0.25">
      <c r="A113">
        <v>20160203</v>
      </c>
      <c r="B113" t="s">
        <v>118</v>
      </c>
      <c r="C113" s="3" t="s">
        <v>103</v>
      </c>
      <c r="D113" t="s">
        <v>99</v>
      </c>
      <c r="E113" s="6" t="s">
        <v>122</v>
      </c>
      <c r="G113" s="7">
        <v>-49</v>
      </c>
      <c r="H113">
        <v>16302078</v>
      </c>
      <c r="I113">
        <v>-68.873000000000005</v>
      </c>
      <c r="J113">
        <v>8.0280000000000005</v>
      </c>
      <c r="K113">
        <v>124.47499999999999</v>
      </c>
      <c r="L113">
        <v>40.427</v>
      </c>
      <c r="M113">
        <v>40.726727272727267</v>
      </c>
      <c r="O113">
        <v>16302079</v>
      </c>
      <c r="P113">
        <v>14</v>
      </c>
      <c r="Q113">
        <v>130</v>
      </c>
      <c r="R113">
        <f t="shared" si="4"/>
        <v>3.192007035808516</v>
      </c>
      <c r="S113">
        <v>-55.300000000000004</v>
      </c>
      <c r="T113">
        <v>-37.6</v>
      </c>
      <c r="U113">
        <v>19.3</v>
      </c>
      <c r="V113">
        <v>56.9</v>
      </c>
      <c r="W113">
        <v>0.5</v>
      </c>
      <c r="X113">
        <v>211.79999999999998</v>
      </c>
      <c r="Z113" s="11"/>
      <c r="AA113" s="11"/>
      <c r="AB113" s="11"/>
      <c r="AC113" s="11"/>
      <c r="AD113" s="11"/>
    </row>
    <row r="114" spans="1:30" x14ac:dyDescent="0.25">
      <c r="Z114" s="11"/>
      <c r="AA114" s="11"/>
      <c r="AB114" s="11"/>
      <c r="AC114" s="11"/>
      <c r="AD114" s="11"/>
    </row>
    <row r="115" spans="1:30" x14ac:dyDescent="0.25">
      <c r="Y115" s="11"/>
      <c r="Z115" s="11"/>
      <c r="AA115" s="11"/>
      <c r="AB115" s="11"/>
      <c r="AC115" s="11"/>
      <c r="AD115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7"/>
  <sheetViews>
    <sheetView workbookViewId="0">
      <selection activeCell="N2" sqref="N2"/>
    </sheetView>
  </sheetViews>
  <sheetFormatPr defaultRowHeight="15" x14ac:dyDescent="0.25"/>
  <cols>
    <col min="1" max="1" width="10.5703125" customWidth="1"/>
    <col min="2" max="2" width="9.140625" style="7"/>
    <col min="5" max="5" width="13.7109375" customWidth="1"/>
  </cols>
  <sheetData>
    <row r="1" spans="1:43" ht="26.25" x14ac:dyDescent="0.4">
      <c r="A1" s="15" t="s">
        <v>179</v>
      </c>
    </row>
    <row r="2" spans="1:43" ht="26.25" x14ac:dyDescent="0.4">
      <c r="A2" s="15"/>
    </row>
    <row r="3" spans="1:43" x14ac:dyDescent="0.25">
      <c r="A3" s="4" t="s">
        <v>82</v>
      </c>
      <c r="B3" s="13" t="s">
        <v>83</v>
      </c>
      <c r="C3" s="13" t="s">
        <v>84</v>
      </c>
      <c r="D3" s="4" t="s">
        <v>85</v>
      </c>
      <c r="E3" s="14" t="s">
        <v>124</v>
      </c>
      <c r="H3" s="1" t="s">
        <v>7</v>
      </c>
      <c r="N3" t="s">
        <v>180</v>
      </c>
    </row>
    <row r="4" spans="1:43" x14ac:dyDescent="0.25">
      <c r="A4">
        <v>20160406</v>
      </c>
      <c r="B4" s="7" t="s">
        <v>100</v>
      </c>
      <c r="C4" t="s">
        <v>97</v>
      </c>
      <c r="D4" t="s">
        <v>99</v>
      </c>
      <c r="E4">
        <v>16406033</v>
      </c>
      <c r="N4">
        <v>1</v>
      </c>
      <c r="O4">
        <v>2</v>
      </c>
      <c r="P4">
        <v>3</v>
      </c>
      <c r="Q4">
        <v>4</v>
      </c>
      <c r="R4">
        <v>5</v>
      </c>
      <c r="S4">
        <v>6</v>
      </c>
      <c r="T4">
        <v>7</v>
      </c>
      <c r="U4">
        <v>8</v>
      </c>
      <c r="V4">
        <v>9</v>
      </c>
      <c r="W4">
        <v>31</v>
      </c>
      <c r="X4">
        <v>32</v>
      </c>
      <c r="Y4">
        <v>33</v>
      </c>
      <c r="Z4">
        <v>34</v>
      </c>
      <c r="AA4">
        <v>48</v>
      </c>
      <c r="AB4">
        <v>49</v>
      </c>
      <c r="AC4">
        <v>50</v>
      </c>
      <c r="AD4">
        <v>51</v>
      </c>
      <c r="AE4">
        <v>52</v>
      </c>
      <c r="AF4">
        <v>53</v>
      </c>
      <c r="AG4">
        <v>54</v>
      </c>
      <c r="AH4">
        <v>55</v>
      </c>
      <c r="AI4">
        <v>56</v>
      </c>
      <c r="AJ4">
        <v>57</v>
      </c>
      <c r="AK4">
        <v>58</v>
      </c>
      <c r="AL4">
        <v>62</v>
      </c>
      <c r="AM4">
        <v>66</v>
      </c>
      <c r="AN4">
        <v>67</v>
      </c>
      <c r="AO4">
        <v>68</v>
      </c>
      <c r="AP4">
        <v>69</v>
      </c>
      <c r="AQ4">
        <v>74</v>
      </c>
    </row>
    <row r="5" spans="1:43" x14ac:dyDescent="0.25">
      <c r="A5">
        <v>20160406</v>
      </c>
      <c r="B5" s="7" t="s">
        <v>100</v>
      </c>
      <c r="C5" t="s">
        <v>101</v>
      </c>
      <c r="D5" t="s">
        <v>99</v>
      </c>
      <c r="E5">
        <v>16406051</v>
      </c>
      <c r="I5" t="s">
        <v>173</v>
      </c>
      <c r="J5" t="s">
        <v>174</v>
      </c>
      <c r="K5" t="s">
        <v>175</v>
      </c>
      <c r="L5" t="s">
        <v>119</v>
      </c>
      <c r="N5" s="7" t="s">
        <v>6</v>
      </c>
      <c r="O5" s="7" t="s">
        <v>8</v>
      </c>
      <c r="P5" s="7" t="s">
        <v>9</v>
      </c>
      <c r="Q5" s="7" t="s">
        <v>10</v>
      </c>
      <c r="R5" s="7" t="s">
        <v>11</v>
      </c>
      <c r="S5" s="7" t="s">
        <v>12</v>
      </c>
      <c r="T5" t="s">
        <v>13</v>
      </c>
      <c r="U5" t="s">
        <v>14</v>
      </c>
      <c r="V5" t="s">
        <v>15</v>
      </c>
      <c r="W5" t="s">
        <v>38</v>
      </c>
      <c r="X5" t="s">
        <v>39</v>
      </c>
      <c r="Y5" t="s">
        <v>40</v>
      </c>
      <c r="Z5" t="s">
        <v>41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69</v>
      </c>
      <c r="AM5" t="s">
        <v>72</v>
      </c>
      <c r="AN5" t="s">
        <v>73</v>
      </c>
      <c r="AO5" t="s">
        <v>74</v>
      </c>
      <c r="AP5" t="s">
        <v>75</v>
      </c>
      <c r="AQ5" t="s">
        <v>80</v>
      </c>
    </row>
    <row r="6" spans="1:43" x14ac:dyDescent="0.25">
      <c r="A6">
        <v>20160406</v>
      </c>
      <c r="B6" s="7" t="s">
        <v>100</v>
      </c>
      <c r="C6" t="s">
        <v>102</v>
      </c>
      <c r="D6" t="s">
        <v>99</v>
      </c>
      <c r="E6" t="s">
        <v>125</v>
      </c>
    </row>
    <row r="7" spans="1:43" x14ac:dyDescent="0.25">
      <c r="A7">
        <v>20160406</v>
      </c>
      <c r="B7" s="7" t="s">
        <v>100</v>
      </c>
      <c r="C7" t="s">
        <v>107</v>
      </c>
      <c r="D7" t="s">
        <v>99</v>
      </c>
      <c r="E7" t="s">
        <v>126</v>
      </c>
      <c r="I7">
        <v>1</v>
      </c>
      <c r="J7">
        <v>5</v>
      </c>
      <c r="K7">
        <f t="shared" ref="K7:K36" si="0">AVERAGE(N7:BP7)</f>
        <v>0.35714285714285715</v>
      </c>
      <c r="L7">
        <f t="shared" ref="L7:L36" si="1">STDEV(N7:BP7)/SQRT(COUNT(N7:BP7))</f>
        <v>0.25309870982701543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 t="s">
        <v>176</v>
      </c>
      <c r="V7">
        <v>0</v>
      </c>
      <c r="W7">
        <v>0</v>
      </c>
      <c r="X7">
        <v>0</v>
      </c>
      <c r="Y7" t="s">
        <v>176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>
        <v>20160406</v>
      </c>
      <c r="B8" s="7" t="s">
        <v>100</v>
      </c>
      <c r="C8" t="s">
        <v>104</v>
      </c>
      <c r="D8" t="s">
        <v>99</v>
      </c>
      <c r="E8" t="s">
        <v>127</v>
      </c>
      <c r="I8">
        <v>2</v>
      </c>
      <c r="J8">
        <v>15</v>
      </c>
      <c r="K8">
        <f t="shared" si="0"/>
        <v>2.0864185185185185</v>
      </c>
      <c r="L8">
        <f t="shared" si="1"/>
        <v>0.79056297204244774</v>
      </c>
      <c r="N8">
        <v>0</v>
      </c>
      <c r="O8">
        <v>2</v>
      </c>
      <c r="P8">
        <v>3</v>
      </c>
      <c r="Q8">
        <v>3</v>
      </c>
      <c r="R8">
        <v>0</v>
      </c>
      <c r="S8">
        <v>3.5</v>
      </c>
      <c r="T8">
        <v>0</v>
      </c>
      <c r="U8">
        <v>0</v>
      </c>
      <c r="V8" t="s">
        <v>177</v>
      </c>
      <c r="W8" t="s">
        <v>178</v>
      </c>
      <c r="X8" t="s">
        <v>177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5</v>
      </c>
      <c r="AG8">
        <v>0</v>
      </c>
      <c r="AH8">
        <v>1.3332999999999999</v>
      </c>
      <c r="AI8">
        <v>18</v>
      </c>
      <c r="AJ8">
        <v>0</v>
      </c>
      <c r="AK8">
        <v>1.5</v>
      </c>
      <c r="AL8">
        <v>0</v>
      </c>
      <c r="AM8">
        <v>0</v>
      </c>
      <c r="AN8">
        <v>3</v>
      </c>
      <c r="AO8">
        <v>12</v>
      </c>
      <c r="AP8">
        <v>0</v>
      </c>
      <c r="AQ8">
        <v>0</v>
      </c>
    </row>
    <row r="9" spans="1:43" x14ac:dyDescent="0.25">
      <c r="A9">
        <v>20160406</v>
      </c>
      <c r="B9" s="7" t="s">
        <v>100</v>
      </c>
      <c r="C9" t="s">
        <v>110</v>
      </c>
      <c r="D9" t="s">
        <v>99</v>
      </c>
      <c r="E9" t="s">
        <v>128</v>
      </c>
      <c r="I9">
        <v>3</v>
      </c>
      <c r="J9">
        <v>25</v>
      </c>
      <c r="K9">
        <f t="shared" si="0"/>
        <v>3.6296296296296298</v>
      </c>
      <c r="L9">
        <f t="shared" si="1"/>
        <v>1.1922089772503475</v>
      </c>
      <c r="N9">
        <v>0</v>
      </c>
      <c r="O9">
        <v>8</v>
      </c>
      <c r="P9">
        <v>5</v>
      </c>
      <c r="Q9">
        <v>10</v>
      </c>
      <c r="R9">
        <v>0</v>
      </c>
      <c r="S9">
        <v>0</v>
      </c>
      <c r="T9">
        <v>0</v>
      </c>
      <c r="U9" t="s">
        <v>177</v>
      </c>
      <c r="V9" t="s">
        <v>177</v>
      </c>
      <c r="W9" t="s">
        <v>178</v>
      </c>
      <c r="X9">
        <v>8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16.5</v>
      </c>
      <c r="AF9">
        <v>6</v>
      </c>
      <c r="AG9">
        <v>0</v>
      </c>
      <c r="AH9">
        <v>0</v>
      </c>
      <c r="AI9">
        <v>26</v>
      </c>
      <c r="AJ9">
        <v>0</v>
      </c>
      <c r="AK9">
        <v>6</v>
      </c>
      <c r="AL9">
        <v>0</v>
      </c>
      <c r="AM9">
        <v>0</v>
      </c>
      <c r="AN9">
        <v>8</v>
      </c>
      <c r="AO9">
        <v>4</v>
      </c>
      <c r="AP9">
        <v>0</v>
      </c>
      <c r="AQ9">
        <v>0.5</v>
      </c>
    </row>
    <row r="10" spans="1:43" x14ac:dyDescent="0.25">
      <c r="A10">
        <v>20160407</v>
      </c>
      <c r="B10" s="7" t="s">
        <v>109</v>
      </c>
      <c r="C10" t="s">
        <v>101</v>
      </c>
      <c r="D10" t="s">
        <v>99</v>
      </c>
      <c r="E10">
        <v>16407025</v>
      </c>
      <c r="I10">
        <v>4</v>
      </c>
      <c r="J10">
        <v>35</v>
      </c>
      <c r="K10">
        <f t="shared" si="0"/>
        <v>5.0308629629629635</v>
      </c>
      <c r="L10">
        <f t="shared" si="1"/>
        <v>1.4717999575606209</v>
      </c>
      <c r="N10">
        <v>2</v>
      </c>
      <c r="O10">
        <v>13</v>
      </c>
      <c r="P10">
        <v>6</v>
      </c>
      <c r="Q10">
        <v>16.5</v>
      </c>
      <c r="R10">
        <v>0.5</v>
      </c>
      <c r="S10">
        <v>0</v>
      </c>
      <c r="T10">
        <v>0</v>
      </c>
      <c r="U10" t="s">
        <v>177</v>
      </c>
      <c r="V10">
        <v>15</v>
      </c>
      <c r="W10">
        <v>0</v>
      </c>
      <c r="X10" t="s">
        <v>177</v>
      </c>
      <c r="Y10">
        <v>0</v>
      </c>
      <c r="Z10">
        <v>0</v>
      </c>
      <c r="AA10">
        <v>0.5</v>
      </c>
      <c r="AB10">
        <v>0</v>
      </c>
      <c r="AC10">
        <v>0</v>
      </c>
      <c r="AD10">
        <v>0</v>
      </c>
      <c r="AE10">
        <v>20</v>
      </c>
      <c r="AF10">
        <v>15.5</v>
      </c>
      <c r="AG10">
        <v>0</v>
      </c>
      <c r="AH10">
        <v>1.3332999999999999</v>
      </c>
      <c r="AI10">
        <v>27</v>
      </c>
      <c r="AJ10">
        <v>0</v>
      </c>
      <c r="AK10">
        <v>10</v>
      </c>
      <c r="AL10">
        <v>0</v>
      </c>
      <c r="AM10">
        <v>2</v>
      </c>
      <c r="AN10" t="s">
        <v>177</v>
      </c>
      <c r="AO10">
        <v>4</v>
      </c>
      <c r="AP10">
        <v>0</v>
      </c>
      <c r="AQ10">
        <v>2.5</v>
      </c>
    </row>
    <row r="11" spans="1:43" x14ac:dyDescent="0.25">
      <c r="A11">
        <v>20160407</v>
      </c>
      <c r="B11" s="7" t="s">
        <v>109</v>
      </c>
      <c r="C11" t="s">
        <v>103</v>
      </c>
      <c r="D11" t="s">
        <v>99</v>
      </c>
      <c r="E11" t="s">
        <v>129</v>
      </c>
      <c r="I11">
        <v>5</v>
      </c>
      <c r="J11">
        <v>45</v>
      </c>
      <c r="K11">
        <f t="shared" si="0"/>
        <v>9.7678571428571423</v>
      </c>
      <c r="L11">
        <f t="shared" si="1"/>
        <v>2.0127336859325249</v>
      </c>
      <c r="N11">
        <v>11</v>
      </c>
      <c r="O11" t="s">
        <v>177</v>
      </c>
      <c r="P11">
        <v>12.5</v>
      </c>
      <c r="Q11">
        <v>21.5</v>
      </c>
      <c r="R11">
        <v>2</v>
      </c>
      <c r="S11">
        <v>3.5</v>
      </c>
      <c r="T11">
        <v>0</v>
      </c>
      <c r="U11" t="s">
        <v>177</v>
      </c>
      <c r="V11">
        <v>20</v>
      </c>
      <c r="W11">
        <v>0</v>
      </c>
      <c r="X11">
        <v>22</v>
      </c>
      <c r="Y11">
        <v>7.5</v>
      </c>
      <c r="Z11">
        <v>0</v>
      </c>
      <c r="AA11">
        <v>3.5</v>
      </c>
      <c r="AB11">
        <v>0</v>
      </c>
      <c r="AC11">
        <v>0</v>
      </c>
      <c r="AD11">
        <v>0</v>
      </c>
      <c r="AE11">
        <v>26</v>
      </c>
      <c r="AF11">
        <v>20.333300000000001</v>
      </c>
      <c r="AG11">
        <v>0</v>
      </c>
      <c r="AH11">
        <v>9.6667000000000005</v>
      </c>
      <c r="AI11">
        <v>31.5</v>
      </c>
      <c r="AJ11">
        <v>0</v>
      </c>
      <c r="AK11">
        <v>14.5</v>
      </c>
      <c r="AL11">
        <v>0</v>
      </c>
      <c r="AM11">
        <v>9.5</v>
      </c>
      <c r="AN11">
        <v>33</v>
      </c>
      <c r="AO11">
        <v>21</v>
      </c>
      <c r="AP11">
        <v>0</v>
      </c>
      <c r="AQ11">
        <v>4.5</v>
      </c>
    </row>
    <row r="12" spans="1:43" x14ac:dyDescent="0.25">
      <c r="A12">
        <v>20160407</v>
      </c>
      <c r="B12" s="7" t="s">
        <v>109</v>
      </c>
      <c r="C12" t="s">
        <v>107</v>
      </c>
      <c r="D12" t="s">
        <v>99</v>
      </c>
      <c r="E12" t="s">
        <v>130</v>
      </c>
      <c r="I12">
        <v>6</v>
      </c>
      <c r="J12">
        <v>55</v>
      </c>
      <c r="K12">
        <f t="shared" si="0"/>
        <v>13.287355172413793</v>
      </c>
      <c r="L12">
        <f t="shared" si="1"/>
        <v>2.2106949991686804</v>
      </c>
      <c r="N12">
        <v>13</v>
      </c>
      <c r="O12">
        <v>23</v>
      </c>
      <c r="P12">
        <v>15.5</v>
      </c>
      <c r="Q12">
        <v>25.5</v>
      </c>
      <c r="R12">
        <v>6</v>
      </c>
      <c r="S12">
        <v>4.5</v>
      </c>
      <c r="T12">
        <v>0</v>
      </c>
      <c r="U12" t="s">
        <v>177</v>
      </c>
      <c r="V12">
        <v>25</v>
      </c>
      <c r="W12">
        <v>7</v>
      </c>
      <c r="X12">
        <v>27</v>
      </c>
      <c r="Y12">
        <v>4</v>
      </c>
      <c r="Z12">
        <v>0</v>
      </c>
      <c r="AA12">
        <v>4.5</v>
      </c>
      <c r="AB12">
        <v>0</v>
      </c>
      <c r="AC12">
        <v>24</v>
      </c>
      <c r="AD12">
        <v>0</v>
      </c>
      <c r="AE12">
        <v>30.5</v>
      </c>
      <c r="AF12">
        <v>37.5</v>
      </c>
      <c r="AG12">
        <v>0</v>
      </c>
      <c r="AH12">
        <v>16</v>
      </c>
      <c r="AI12">
        <v>34</v>
      </c>
      <c r="AJ12">
        <v>0.5</v>
      </c>
      <c r="AK12">
        <v>17</v>
      </c>
      <c r="AL12">
        <v>0.83330000000000004</v>
      </c>
      <c r="AM12">
        <v>19</v>
      </c>
      <c r="AN12">
        <v>26</v>
      </c>
      <c r="AO12">
        <v>17</v>
      </c>
      <c r="AP12">
        <v>0</v>
      </c>
      <c r="AQ12">
        <v>8</v>
      </c>
    </row>
    <row r="13" spans="1:43" x14ac:dyDescent="0.25">
      <c r="A13">
        <v>20160407</v>
      </c>
      <c r="B13" s="7" t="s">
        <v>109</v>
      </c>
      <c r="C13" t="s">
        <v>102</v>
      </c>
      <c r="D13" t="s">
        <v>99</v>
      </c>
      <c r="E13" t="s">
        <v>131</v>
      </c>
      <c r="I13">
        <v>7</v>
      </c>
      <c r="J13">
        <v>65</v>
      </c>
      <c r="K13">
        <f t="shared" si="0"/>
        <v>15.841026923076923</v>
      </c>
      <c r="L13">
        <f t="shared" si="1"/>
        <v>2.6411615758895972</v>
      </c>
      <c r="N13">
        <v>15</v>
      </c>
      <c r="O13" t="s">
        <v>177</v>
      </c>
      <c r="P13">
        <v>20.5</v>
      </c>
      <c r="Q13">
        <v>28.5</v>
      </c>
      <c r="R13">
        <v>11.5</v>
      </c>
      <c r="S13">
        <v>6</v>
      </c>
      <c r="T13">
        <v>0</v>
      </c>
      <c r="U13" t="s">
        <v>177</v>
      </c>
      <c r="V13">
        <v>32</v>
      </c>
      <c r="W13">
        <v>7</v>
      </c>
      <c r="X13">
        <v>31</v>
      </c>
      <c r="Y13">
        <v>29</v>
      </c>
      <c r="Z13">
        <v>0</v>
      </c>
      <c r="AA13">
        <v>15.5</v>
      </c>
      <c r="AB13">
        <v>0</v>
      </c>
      <c r="AC13" t="s">
        <v>177</v>
      </c>
      <c r="AD13">
        <v>0</v>
      </c>
      <c r="AE13">
        <v>35</v>
      </c>
      <c r="AF13">
        <v>43.5</v>
      </c>
      <c r="AG13">
        <v>1.5</v>
      </c>
      <c r="AH13">
        <v>16.666699999999999</v>
      </c>
      <c r="AI13" t="s">
        <v>178</v>
      </c>
      <c r="AJ13">
        <v>3.5</v>
      </c>
      <c r="AK13">
        <v>22.5</v>
      </c>
      <c r="AL13">
        <v>2.2000000000000002</v>
      </c>
      <c r="AM13">
        <v>22</v>
      </c>
      <c r="AN13">
        <v>37</v>
      </c>
      <c r="AO13">
        <v>20</v>
      </c>
      <c r="AP13">
        <v>0</v>
      </c>
      <c r="AQ13">
        <v>12</v>
      </c>
    </row>
    <row r="14" spans="1:43" x14ac:dyDescent="0.25">
      <c r="A14">
        <v>20160407</v>
      </c>
      <c r="B14" s="7" t="s">
        <v>109</v>
      </c>
      <c r="C14" t="s">
        <v>110</v>
      </c>
      <c r="D14" t="s">
        <v>99</v>
      </c>
      <c r="E14">
        <v>16407174</v>
      </c>
      <c r="I14">
        <v>8</v>
      </c>
      <c r="J14">
        <v>75</v>
      </c>
      <c r="K14">
        <f t="shared" si="0"/>
        <v>20.076667999999998</v>
      </c>
      <c r="L14">
        <f t="shared" si="1"/>
        <v>2.8614860472996666</v>
      </c>
      <c r="N14">
        <v>22</v>
      </c>
      <c r="O14">
        <v>33</v>
      </c>
      <c r="P14">
        <v>20</v>
      </c>
      <c r="Q14">
        <v>33.5</v>
      </c>
      <c r="R14">
        <v>16.5</v>
      </c>
      <c r="S14">
        <v>10</v>
      </c>
      <c r="T14">
        <v>0</v>
      </c>
      <c r="U14" t="s">
        <v>177</v>
      </c>
      <c r="V14">
        <v>34</v>
      </c>
      <c r="W14" t="s">
        <v>178</v>
      </c>
      <c r="X14">
        <v>34</v>
      </c>
      <c r="Y14">
        <v>24.5</v>
      </c>
      <c r="Z14" t="s">
        <v>177</v>
      </c>
      <c r="AA14">
        <v>22.5</v>
      </c>
      <c r="AB14">
        <v>0</v>
      </c>
      <c r="AC14" t="s">
        <v>177</v>
      </c>
      <c r="AD14">
        <v>0</v>
      </c>
      <c r="AE14">
        <v>38</v>
      </c>
      <c r="AF14">
        <v>41.666699999999999</v>
      </c>
      <c r="AG14">
        <v>0</v>
      </c>
      <c r="AH14">
        <v>30</v>
      </c>
      <c r="AI14">
        <v>45</v>
      </c>
      <c r="AJ14">
        <v>5.5</v>
      </c>
      <c r="AK14">
        <v>25.5</v>
      </c>
      <c r="AL14">
        <v>5.25</v>
      </c>
      <c r="AM14">
        <v>25.5</v>
      </c>
      <c r="AN14" t="s">
        <v>177</v>
      </c>
      <c r="AO14">
        <v>20</v>
      </c>
      <c r="AP14">
        <v>0</v>
      </c>
      <c r="AQ14">
        <v>15.5</v>
      </c>
    </row>
    <row r="15" spans="1:43" x14ac:dyDescent="0.25">
      <c r="A15">
        <v>20160405</v>
      </c>
      <c r="B15" s="7" t="s">
        <v>114</v>
      </c>
      <c r="C15" t="s">
        <v>97</v>
      </c>
      <c r="D15" t="s">
        <v>99</v>
      </c>
      <c r="E15">
        <v>16405023</v>
      </c>
      <c r="I15">
        <v>9</v>
      </c>
      <c r="J15">
        <v>85</v>
      </c>
      <c r="K15">
        <f t="shared" si="0"/>
        <v>23.450892857142858</v>
      </c>
      <c r="L15">
        <f t="shared" si="1"/>
        <v>2.8723557203966683</v>
      </c>
      <c r="N15" t="s">
        <v>177</v>
      </c>
      <c r="O15">
        <v>36</v>
      </c>
      <c r="P15">
        <v>17.5</v>
      </c>
      <c r="Q15">
        <v>35.5</v>
      </c>
      <c r="R15">
        <v>19.5</v>
      </c>
      <c r="S15">
        <v>14</v>
      </c>
      <c r="T15">
        <v>0</v>
      </c>
      <c r="U15">
        <v>19</v>
      </c>
      <c r="V15">
        <v>37</v>
      </c>
      <c r="W15" t="s">
        <v>178</v>
      </c>
      <c r="X15">
        <v>38</v>
      </c>
      <c r="Y15">
        <v>19</v>
      </c>
      <c r="Z15">
        <v>14</v>
      </c>
      <c r="AA15">
        <v>26</v>
      </c>
      <c r="AB15">
        <v>3</v>
      </c>
      <c r="AC15">
        <v>17</v>
      </c>
      <c r="AD15">
        <v>0</v>
      </c>
      <c r="AE15">
        <v>39</v>
      </c>
      <c r="AF15">
        <v>42</v>
      </c>
      <c r="AG15">
        <v>8</v>
      </c>
      <c r="AH15">
        <v>27.5</v>
      </c>
      <c r="AI15">
        <v>51.5</v>
      </c>
      <c r="AJ15">
        <v>12.5</v>
      </c>
      <c r="AK15">
        <v>29</v>
      </c>
      <c r="AL15">
        <v>8.125</v>
      </c>
      <c r="AM15">
        <v>28.5</v>
      </c>
      <c r="AN15">
        <v>47</v>
      </c>
      <c r="AO15">
        <v>47</v>
      </c>
      <c r="AP15">
        <v>0</v>
      </c>
      <c r="AQ15">
        <v>21</v>
      </c>
    </row>
    <row r="16" spans="1:43" x14ac:dyDescent="0.25">
      <c r="A16">
        <v>20160405</v>
      </c>
      <c r="B16" s="7" t="s">
        <v>114</v>
      </c>
      <c r="C16" t="s">
        <v>102</v>
      </c>
      <c r="D16" t="s">
        <v>99</v>
      </c>
      <c r="E16">
        <v>16405046</v>
      </c>
      <c r="I16">
        <v>10</v>
      </c>
      <c r="J16">
        <v>95</v>
      </c>
      <c r="K16">
        <f t="shared" si="0"/>
        <v>26.89</v>
      </c>
      <c r="L16">
        <f t="shared" si="1"/>
        <v>3.0210401078657219</v>
      </c>
      <c r="N16" t="s">
        <v>177</v>
      </c>
      <c r="O16">
        <v>40</v>
      </c>
      <c r="P16">
        <v>21.5</v>
      </c>
      <c r="Q16">
        <v>40</v>
      </c>
      <c r="R16">
        <v>22</v>
      </c>
      <c r="S16">
        <v>25.5</v>
      </c>
      <c r="T16" t="s">
        <v>178</v>
      </c>
      <c r="U16">
        <v>17</v>
      </c>
      <c r="V16">
        <v>42</v>
      </c>
      <c r="W16">
        <v>14</v>
      </c>
      <c r="X16">
        <v>38</v>
      </c>
      <c r="Y16">
        <v>22</v>
      </c>
      <c r="Z16">
        <v>0</v>
      </c>
      <c r="AA16">
        <v>30</v>
      </c>
      <c r="AB16">
        <v>3</v>
      </c>
      <c r="AC16" t="s">
        <v>177</v>
      </c>
      <c r="AD16">
        <v>0</v>
      </c>
      <c r="AE16">
        <v>45</v>
      </c>
      <c r="AF16">
        <v>49</v>
      </c>
      <c r="AG16">
        <v>11</v>
      </c>
      <c r="AH16">
        <v>36</v>
      </c>
      <c r="AI16">
        <v>55.5</v>
      </c>
      <c r="AJ16">
        <v>17</v>
      </c>
      <c r="AK16">
        <v>32</v>
      </c>
      <c r="AL16">
        <v>15.75</v>
      </c>
      <c r="AM16">
        <v>39</v>
      </c>
      <c r="AN16" t="s">
        <v>177</v>
      </c>
      <c r="AO16">
        <v>33</v>
      </c>
      <c r="AP16" t="s">
        <v>177</v>
      </c>
      <c r="AQ16">
        <v>24</v>
      </c>
    </row>
    <row r="17" spans="1:43" x14ac:dyDescent="0.25">
      <c r="A17">
        <v>20160405</v>
      </c>
      <c r="B17" s="7" t="s">
        <v>114</v>
      </c>
      <c r="C17" t="s">
        <v>107</v>
      </c>
      <c r="D17" t="s">
        <v>99</v>
      </c>
      <c r="E17" t="s">
        <v>132</v>
      </c>
      <c r="I17">
        <v>11</v>
      </c>
      <c r="J17">
        <v>105</v>
      </c>
      <c r="K17">
        <f t="shared" si="0"/>
        <v>27.362317391304348</v>
      </c>
      <c r="L17">
        <f t="shared" si="1"/>
        <v>3.0063368480295494</v>
      </c>
      <c r="N17" t="s">
        <v>177</v>
      </c>
      <c r="O17">
        <v>44</v>
      </c>
      <c r="P17">
        <v>26</v>
      </c>
      <c r="Q17" t="s">
        <v>178</v>
      </c>
      <c r="R17">
        <v>23.5</v>
      </c>
      <c r="S17">
        <v>28</v>
      </c>
      <c r="T17" t="s">
        <v>178</v>
      </c>
      <c r="U17">
        <v>18</v>
      </c>
      <c r="V17">
        <v>43</v>
      </c>
      <c r="W17">
        <v>12.5</v>
      </c>
      <c r="X17" t="s">
        <v>177</v>
      </c>
      <c r="Y17">
        <v>22.5</v>
      </c>
      <c r="Z17" t="s">
        <v>177</v>
      </c>
      <c r="AA17">
        <v>35</v>
      </c>
      <c r="AB17">
        <v>5</v>
      </c>
      <c r="AC17">
        <v>25</v>
      </c>
      <c r="AD17">
        <v>0</v>
      </c>
      <c r="AE17" t="s">
        <v>178</v>
      </c>
      <c r="AF17">
        <v>47</v>
      </c>
      <c r="AG17">
        <v>19.5</v>
      </c>
      <c r="AH17">
        <v>37</v>
      </c>
      <c r="AI17">
        <v>58.5</v>
      </c>
      <c r="AJ17">
        <v>22</v>
      </c>
      <c r="AK17">
        <v>35</v>
      </c>
      <c r="AL17">
        <v>19.333300000000001</v>
      </c>
      <c r="AM17">
        <v>39</v>
      </c>
      <c r="AN17" t="s">
        <v>177</v>
      </c>
      <c r="AO17">
        <v>37</v>
      </c>
      <c r="AP17">
        <v>5</v>
      </c>
      <c r="AQ17">
        <v>27.5</v>
      </c>
    </row>
    <row r="18" spans="1:43" x14ac:dyDescent="0.25">
      <c r="A18">
        <v>20160405</v>
      </c>
      <c r="B18" s="7" t="s">
        <v>114</v>
      </c>
      <c r="C18" t="s">
        <v>115</v>
      </c>
      <c r="D18" t="s">
        <v>99</v>
      </c>
      <c r="E18">
        <v>16405128</v>
      </c>
      <c r="I18">
        <v>12</v>
      </c>
      <c r="J18">
        <v>115</v>
      </c>
      <c r="K18">
        <f t="shared" si="0"/>
        <v>30.987500000000001</v>
      </c>
      <c r="L18">
        <f t="shared" si="1"/>
        <v>3.777289955496498</v>
      </c>
      <c r="N18" t="s">
        <v>177</v>
      </c>
      <c r="O18">
        <v>47</v>
      </c>
      <c r="P18">
        <v>19.5</v>
      </c>
      <c r="Q18">
        <v>46</v>
      </c>
      <c r="R18">
        <v>25</v>
      </c>
      <c r="S18">
        <v>25</v>
      </c>
      <c r="T18" t="s">
        <v>178</v>
      </c>
      <c r="U18">
        <v>24</v>
      </c>
      <c r="V18">
        <v>47</v>
      </c>
      <c r="W18" t="s">
        <v>178</v>
      </c>
      <c r="X18" t="s">
        <v>177</v>
      </c>
      <c r="Y18" t="s">
        <v>178</v>
      </c>
      <c r="Z18">
        <v>10</v>
      </c>
      <c r="AA18">
        <v>39</v>
      </c>
      <c r="AB18">
        <v>0</v>
      </c>
      <c r="AC18" t="s">
        <v>177</v>
      </c>
      <c r="AD18">
        <v>0</v>
      </c>
      <c r="AE18" t="s">
        <v>178</v>
      </c>
      <c r="AF18">
        <v>57.5</v>
      </c>
      <c r="AG18">
        <v>18.5</v>
      </c>
      <c r="AH18" t="s">
        <v>178</v>
      </c>
      <c r="AI18">
        <v>61</v>
      </c>
      <c r="AJ18">
        <v>25.5</v>
      </c>
      <c r="AK18">
        <v>37</v>
      </c>
      <c r="AL18">
        <v>28.25</v>
      </c>
      <c r="AM18">
        <v>42</v>
      </c>
      <c r="AN18" t="s">
        <v>177</v>
      </c>
      <c r="AO18">
        <v>38</v>
      </c>
      <c r="AP18" t="s">
        <v>177</v>
      </c>
      <c r="AQ18">
        <v>29.5</v>
      </c>
    </row>
    <row r="19" spans="1:43" x14ac:dyDescent="0.25">
      <c r="A19">
        <v>20160405</v>
      </c>
      <c r="B19" s="7" t="s">
        <v>114</v>
      </c>
      <c r="C19" t="s">
        <v>110</v>
      </c>
      <c r="D19" t="s">
        <v>99</v>
      </c>
      <c r="E19" t="s">
        <v>133</v>
      </c>
      <c r="I19">
        <v>13</v>
      </c>
      <c r="J19">
        <v>125</v>
      </c>
      <c r="K19">
        <f t="shared" si="0"/>
        <v>31.4375</v>
      </c>
      <c r="L19">
        <f t="shared" si="1"/>
        <v>3.5548640513967684</v>
      </c>
      <c r="N19" t="s">
        <v>177</v>
      </c>
      <c r="O19">
        <v>49</v>
      </c>
      <c r="P19">
        <v>21</v>
      </c>
      <c r="Q19" t="s">
        <v>178</v>
      </c>
      <c r="R19">
        <v>27</v>
      </c>
      <c r="S19">
        <v>33.5</v>
      </c>
      <c r="T19">
        <v>11</v>
      </c>
      <c r="U19">
        <v>20</v>
      </c>
      <c r="V19">
        <v>49</v>
      </c>
      <c r="W19">
        <v>17</v>
      </c>
      <c r="X19" t="s">
        <v>177</v>
      </c>
      <c r="Y19">
        <v>33.5</v>
      </c>
      <c r="Z19">
        <v>12</v>
      </c>
      <c r="AA19">
        <v>46</v>
      </c>
      <c r="AB19">
        <v>0</v>
      </c>
      <c r="AC19">
        <v>23</v>
      </c>
      <c r="AD19">
        <v>0</v>
      </c>
      <c r="AE19">
        <v>57.5</v>
      </c>
      <c r="AF19">
        <v>57</v>
      </c>
      <c r="AG19">
        <v>25</v>
      </c>
      <c r="AH19" t="s">
        <v>178</v>
      </c>
      <c r="AI19">
        <v>65.5</v>
      </c>
      <c r="AJ19">
        <v>28.5</v>
      </c>
      <c r="AK19">
        <v>39</v>
      </c>
      <c r="AL19">
        <v>29</v>
      </c>
      <c r="AM19">
        <v>45</v>
      </c>
      <c r="AN19" t="s">
        <v>177</v>
      </c>
      <c r="AO19">
        <v>37</v>
      </c>
      <c r="AP19" t="s">
        <v>177</v>
      </c>
      <c r="AQ19">
        <v>29</v>
      </c>
    </row>
    <row r="20" spans="1:43" x14ac:dyDescent="0.25">
      <c r="A20">
        <v>20160225</v>
      </c>
      <c r="B20" s="7" t="s">
        <v>116</v>
      </c>
      <c r="C20" t="s">
        <v>97</v>
      </c>
      <c r="D20" t="s">
        <v>99</v>
      </c>
      <c r="E20" t="s">
        <v>134</v>
      </c>
      <c r="I20">
        <v>14</v>
      </c>
      <c r="J20">
        <v>135</v>
      </c>
      <c r="K20">
        <f t="shared" si="0"/>
        <v>33.142857142857146</v>
      </c>
      <c r="L20">
        <f t="shared" si="1"/>
        <v>3.6884864067512999</v>
      </c>
      <c r="N20">
        <v>35</v>
      </c>
      <c r="O20">
        <v>52</v>
      </c>
      <c r="P20">
        <v>22</v>
      </c>
      <c r="Q20" t="s">
        <v>178</v>
      </c>
      <c r="R20">
        <v>29.5</v>
      </c>
      <c r="S20">
        <v>29.5</v>
      </c>
      <c r="T20">
        <v>16.5</v>
      </c>
      <c r="U20">
        <v>20</v>
      </c>
      <c r="V20" t="s">
        <v>177</v>
      </c>
      <c r="W20">
        <v>15</v>
      </c>
      <c r="X20" t="s">
        <v>177</v>
      </c>
      <c r="Y20">
        <v>20.5</v>
      </c>
      <c r="Z20">
        <v>37</v>
      </c>
      <c r="AA20" t="s">
        <v>178</v>
      </c>
      <c r="AB20">
        <v>19</v>
      </c>
      <c r="AC20" t="s">
        <v>177</v>
      </c>
      <c r="AD20">
        <v>0</v>
      </c>
      <c r="AE20">
        <v>59.5</v>
      </c>
      <c r="AF20" t="s">
        <v>178</v>
      </c>
      <c r="AG20">
        <v>27.5</v>
      </c>
      <c r="AH20">
        <v>52</v>
      </c>
      <c r="AI20">
        <v>70.5</v>
      </c>
      <c r="AJ20">
        <v>31.5</v>
      </c>
      <c r="AK20">
        <v>41.5</v>
      </c>
      <c r="AL20">
        <v>30.5</v>
      </c>
      <c r="AM20">
        <v>53</v>
      </c>
      <c r="AN20" t="s">
        <v>177</v>
      </c>
      <c r="AO20" t="s">
        <v>177</v>
      </c>
      <c r="AP20" t="s">
        <v>177</v>
      </c>
      <c r="AQ20">
        <v>34</v>
      </c>
    </row>
    <row r="21" spans="1:43" x14ac:dyDescent="0.25">
      <c r="A21">
        <v>20160225</v>
      </c>
      <c r="B21" s="7" t="s">
        <v>116</v>
      </c>
      <c r="C21" t="s">
        <v>101</v>
      </c>
      <c r="D21" t="s">
        <v>99</v>
      </c>
      <c r="E21" t="s">
        <v>135</v>
      </c>
      <c r="I21">
        <v>15</v>
      </c>
      <c r="J21">
        <v>145</v>
      </c>
      <c r="K21">
        <f t="shared" si="0"/>
        <v>37.152173913043477</v>
      </c>
      <c r="L21">
        <f t="shared" si="1"/>
        <v>3.6681023815631364</v>
      </c>
      <c r="N21">
        <v>34</v>
      </c>
      <c r="O21" t="s">
        <v>177</v>
      </c>
      <c r="P21">
        <v>23</v>
      </c>
      <c r="Q21">
        <v>59.5</v>
      </c>
      <c r="R21">
        <v>31.5</v>
      </c>
      <c r="S21">
        <v>29</v>
      </c>
      <c r="T21">
        <v>12</v>
      </c>
      <c r="U21">
        <v>17</v>
      </c>
      <c r="V21" t="s">
        <v>177</v>
      </c>
      <c r="W21">
        <v>17</v>
      </c>
      <c r="X21" t="s">
        <v>177</v>
      </c>
      <c r="Y21">
        <v>43</v>
      </c>
      <c r="Z21">
        <v>48</v>
      </c>
      <c r="AA21">
        <v>49</v>
      </c>
      <c r="AB21">
        <v>21.5</v>
      </c>
      <c r="AC21" t="s">
        <v>177</v>
      </c>
      <c r="AD21">
        <v>5.5</v>
      </c>
      <c r="AE21">
        <v>61</v>
      </c>
      <c r="AF21">
        <v>58</v>
      </c>
      <c r="AG21">
        <v>27.5</v>
      </c>
      <c r="AH21">
        <v>46.5</v>
      </c>
      <c r="AI21">
        <v>74</v>
      </c>
      <c r="AJ21">
        <v>33.5</v>
      </c>
      <c r="AK21">
        <v>46</v>
      </c>
      <c r="AL21">
        <v>32</v>
      </c>
      <c r="AM21">
        <v>55</v>
      </c>
      <c r="AN21" t="s">
        <v>177</v>
      </c>
      <c r="AO21" t="s">
        <v>177</v>
      </c>
      <c r="AP21" t="s">
        <v>177</v>
      </c>
      <c r="AQ21">
        <v>31</v>
      </c>
    </row>
    <row r="22" spans="1:43" x14ac:dyDescent="0.25">
      <c r="A22">
        <v>20160324</v>
      </c>
      <c r="B22" s="7" t="s">
        <v>117</v>
      </c>
      <c r="C22" t="s">
        <v>101</v>
      </c>
      <c r="D22" t="s">
        <v>99</v>
      </c>
      <c r="E22" t="s">
        <v>136</v>
      </c>
      <c r="I22">
        <v>16</v>
      </c>
      <c r="J22">
        <v>155</v>
      </c>
      <c r="K22">
        <f t="shared" si="0"/>
        <v>36.952380952380949</v>
      </c>
      <c r="L22">
        <f t="shared" si="1"/>
        <v>4.3692519739414646</v>
      </c>
      <c r="N22" t="s">
        <v>177</v>
      </c>
      <c r="O22" t="s">
        <v>177</v>
      </c>
      <c r="P22">
        <v>22</v>
      </c>
      <c r="Q22">
        <v>64</v>
      </c>
      <c r="R22">
        <v>33.5</v>
      </c>
      <c r="S22" t="s">
        <v>178</v>
      </c>
      <c r="T22">
        <v>28</v>
      </c>
      <c r="U22">
        <v>10</v>
      </c>
      <c r="V22">
        <v>61</v>
      </c>
      <c r="W22">
        <v>16</v>
      </c>
      <c r="X22" t="s">
        <v>177</v>
      </c>
      <c r="Y22">
        <v>36</v>
      </c>
      <c r="Z22">
        <v>21</v>
      </c>
      <c r="AA22">
        <v>53.5</v>
      </c>
      <c r="AB22">
        <v>17</v>
      </c>
      <c r="AC22">
        <v>37</v>
      </c>
      <c r="AD22">
        <v>0</v>
      </c>
      <c r="AE22">
        <v>62</v>
      </c>
      <c r="AF22" t="s">
        <v>178</v>
      </c>
      <c r="AG22">
        <v>26.5</v>
      </c>
      <c r="AH22" t="s">
        <v>178</v>
      </c>
      <c r="AI22">
        <v>78</v>
      </c>
      <c r="AJ22">
        <v>37</v>
      </c>
      <c r="AK22">
        <v>48.5</v>
      </c>
      <c r="AL22">
        <v>33</v>
      </c>
      <c r="AM22">
        <v>56</v>
      </c>
      <c r="AN22" t="s">
        <v>177</v>
      </c>
      <c r="AO22" t="s">
        <v>177</v>
      </c>
      <c r="AP22" t="s">
        <v>177</v>
      </c>
      <c r="AQ22">
        <v>36</v>
      </c>
    </row>
    <row r="23" spans="1:43" x14ac:dyDescent="0.25">
      <c r="A23">
        <v>20160324</v>
      </c>
      <c r="B23" s="7" t="s">
        <v>117</v>
      </c>
      <c r="C23" t="s">
        <v>102</v>
      </c>
      <c r="D23" t="s">
        <v>99</v>
      </c>
      <c r="E23">
        <v>16324032</v>
      </c>
      <c r="I23">
        <v>17</v>
      </c>
      <c r="J23">
        <v>165</v>
      </c>
      <c r="K23">
        <f t="shared" si="0"/>
        <v>39.5</v>
      </c>
      <c r="L23">
        <f t="shared" si="1"/>
        <v>4.9683206947937428</v>
      </c>
      <c r="N23" t="s">
        <v>177</v>
      </c>
      <c r="O23" t="s">
        <v>177</v>
      </c>
      <c r="P23" t="s">
        <v>178</v>
      </c>
      <c r="Q23">
        <v>69</v>
      </c>
      <c r="R23">
        <v>32</v>
      </c>
      <c r="S23">
        <v>50</v>
      </c>
      <c r="T23">
        <v>36</v>
      </c>
      <c r="U23">
        <v>9</v>
      </c>
      <c r="V23">
        <v>63</v>
      </c>
      <c r="W23">
        <v>17</v>
      </c>
      <c r="X23" t="s">
        <v>177</v>
      </c>
      <c r="Y23">
        <v>45</v>
      </c>
      <c r="Z23">
        <v>36</v>
      </c>
      <c r="AA23">
        <v>55</v>
      </c>
      <c r="AB23">
        <v>11.5</v>
      </c>
      <c r="AC23" t="s">
        <v>177</v>
      </c>
      <c r="AD23">
        <v>0</v>
      </c>
      <c r="AE23" t="s">
        <v>178</v>
      </c>
      <c r="AF23" t="s">
        <v>178</v>
      </c>
      <c r="AG23">
        <v>21</v>
      </c>
      <c r="AH23">
        <v>63</v>
      </c>
      <c r="AI23">
        <v>80</v>
      </c>
      <c r="AJ23">
        <v>37.5</v>
      </c>
      <c r="AK23">
        <v>54</v>
      </c>
      <c r="AL23">
        <v>35.5</v>
      </c>
      <c r="AM23" t="s">
        <v>178</v>
      </c>
      <c r="AN23" t="s">
        <v>177</v>
      </c>
      <c r="AO23" t="s">
        <v>177</v>
      </c>
      <c r="AP23" t="s">
        <v>177</v>
      </c>
      <c r="AQ23">
        <v>36</v>
      </c>
    </row>
    <row r="24" spans="1:43" x14ac:dyDescent="0.25">
      <c r="A24">
        <v>20160324</v>
      </c>
      <c r="B24" s="7" t="s">
        <v>117</v>
      </c>
      <c r="C24" t="s">
        <v>103</v>
      </c>
      <c r="D24" t="s">
        <v>99</v>
      </c>
      <c r="E24">
        <v>16324055</v>
      </c>
      <c r="I24">
        <v>18</v>
      </c>
      <c r="J24">
        <v>175</v>
      </c>
      <c r="K24">
        <f t="shared" si="0"/>
        <v>43.087721052631579</v>
      </c>
      <c r="L24">
        <f t="shared" si="1"/>
        <v>5.6263957811372265</v>
      </c>
      <c r="N24" t="s">
        <v>177</v>
      </c>
      <c r="O24">
        <v>64</v>
      </c>
      <c r="P24" t="s">
        <v>178</v>
      </c>
      <c r="Q24">
        <v>72</v>
      </c>
      <c r="R24">
        <v>35</v>
      </c>
      <c r="S24" t="s">
        <v>178</v>
      </c>
      <c r="T24">
        <v>32</v>
      </c>
      <c r="U24">
        <v>7</v>
      </c>
      <c r="V24">
        <v>66</v>
      </c>
      <c r="W24">
        <v>17</v>
      </c>
      <c r="X24" t="s">
        <v>177</v>
      </c>
      <c r="Y24">
        <v>38</v>
      </c>
      <c r="Z24">
        <v>38</v>
      </c>
      <c r="AA24">
        <v>59</v>
      </c>
      <c r="AB24">
        <v>5</v>
      </c>
      <c r="AC24" t="s">
        <v>177</v>
      </c>
      <c r="AD24">
        <v>0</v>
      </c>
      <c r="AE24">
        <v>69</v>
      </c>
      <c r="AF24" t="s">
        <v>178</v>
      </c>
      <c r="AG24">
        <v>28</v>
      </c>
      <c r="AH24">
        <v>63</v>
      </c>
      <c r="AI24">
        <v>85.5</v>
      </c>
      <c r="AJ24">
        <v>46</v>
      </c>
      <c r="AK24">
        <v>54.5</v>
      </c>
      <c r="AL24">
        <v>39.666699999999999</v>
      </c>
      <c r="AM24" t="s">
        <v>178</v>
      </c>
      <c r="AN24" t="s">
        <v>177</v>
      </c>
      <c r="AO24" t="s">
        <v>177</v>
      </c>
      <c r="AP24" t="s">
        <v>177</v>
      </c>
      <c r="AQ24" t="s">
        <v>178</v>
      </c>
    </row>
    <row r="25" spans="1:43" x14ac:dyDescent="0.25">
      <c r="A25">
        <v>20160324</v>
      </c>
      <c r="B25" s="7" t="s">
        <v>117</v>
      </c>
      <c r="C25" t="s">
        <v>107</v>
      </c>
      <c r="D25" t="s">
        <v>99</v>
      </c>
      <c r="E25" t="s">
        <v>137</v>
      </c>
      <c r="I25">
        <v>19</v>
      </c>
      <c r="J25">
        <v>185</v>
      </c>
      <c r="K25">
        <f t="shared" si="0"/>
        <v>41.315789473684212</v>
      </c>
      <c r="L25">
        <f t="shared" si="1"/>
        <v>5.4137590747257232</v>
      </c>
      <c r="N25" t="s">
        <v>177</v>
      </c>
      <c r="O25" t="s">
        <v>177</v>
      </c>
      <c r="P25">
        <v>13</v>
      </c>
      <c r="Q25">
        <v>76</v>
      </c>
      <c r="R25">
        <v>38</v>
      </c>
      <c r="S25">
        <v>47</v>
      </c>
      <c r="T25">
        <v>32.5</v>
      </c>
      <c r="U25">
        <v>5</v>
      </c>
      <c r="V25">
        <v>67</v>
      </c>
      <c r="W25" t="s">
        <v>178</v>
      </c>
      <c r="X25">
        <v>54</v>
      </c>
      <c r="Y25">
        <v>36</v>
      </c>
      <c r="Z25">
        <v>42</v>
      </c>
      <c r="AA25">
        <v>48</v>
      </c>
      <c r="AB25">
        <v>16</v>
      </c>
      <c r="AC25" t="s">
        <v>177</v>
      </c>
      <c r="AD25">
        <v>0.5</v>
      </c>
      <c r="AE25" t="s">
        <v>178</v>
      </c>
      <c r="AF25" t="s">
        <v>178</v>
      </c>
      <c r="AG25">
        <v>23</v>
      </c>
      <c r="AH25" t="s">
        <v>178</v>
      </c>
      <c r="AI25">
        <v>93</v>
      </c>
      <c r="AJ25">
        <v>45</v>
      </c>
      <c r="AK25">
        <v>59</v>
      </c>
      <c r="AL25">
        <v>42</v>
      </c>
      <c r="AM25" t="s">
        <v>178</v>
      </c>
      <c r="AN25" t="s">
        <v>177</v>
      </c>
      <c r="AO25" t="s">
        <v>177</v>
      </c>
      <c r="AP25" t="s">
        <v>177</v>
      </c>
      <c r="AQ25">
        <v>48</v>
      </c>
    </row>
    <row r="26" spans="1:43" x14ac:dyDescent="0.25">
      <c r="A26">
        <v>20160324</v>
      </c>
      <c r="B26" s="7" t="s">
        <v>117</v>
      </c>
      <c r="C26" t="s">
        <v>115</v>
      </c>
      <c r="D26" t="s">
        <v>99</v>
      </c>
      <c r="E26">
        <v>16324087</v>
      </c>
      <c r="I26">
        <v>20</v>
      </c>
      <c r="J26">
        <v>195</v>
      </c>
      <c r="K26">
        <f t="shared" si="0"/>
        <v>39.714285714285715</v>
      </c>
      <c r="L26">
        <f t="shared" si="1"/>
        <v>6.9110745426727895</v>
      </c>
      <c r="N26" t="s">
        <v>177</v>
      </c>
      <c r="O26" t="s">
        <v>177</v>
      </c>
      <c r="P26">
        <v>13</v>
      </c>
      <c r="Q26">
        <v>79</v>
      </c>
      <c r="R26">
        <v>39</v>
      </c>
      <c r="S26">
        <v>41</v>
      </c>
      <c r="T26">
        <v>20.5</v>
      </c>
      <c r="U26" t="s">
        <v>177</v>
      </c>
      <c r="V26" t="s">
        <v>177</v>
      </c>
      <c r="W26">
        <v>16</v>
      </c>
      <c r="X26" t="s">
        <v>177</v>
      </c>
      <c r="Y26">
        <v>44.5</v>
      </c>
      <c r="Z26" t="s">
        <v>177</v>
      </c>
      <c r="AA26" t="s">
        <v>178</v>
      </c>
      <c r="AB26">
        <v>20</v>
      </c>
      <c r="AC26" t="s">
        <v>177</v>
      </c>
      <c r="AD26">
        <v>0.5</v>
      </c>
      <c r="AE26" t="s">
        <v>178</v>
      </c>
      <c r="AF26" t="s">
        <v>178</v>
      </c>
      <c r="AG26">
        <v>33</v>
      </c>
      <c r="AH26">
        <v>60</v>
      </c>
      <c r="AI26">
        <v>91.5</v>
      </c>
      <c r="AJ26" t="s">
        <v>178</v>
      </c>
      <c r="AK26">
        <v>60</v>
      </c>
      <c r="AL26" t="s">
        <v>178</v>
      </c>
      <c r="AM26" t="s">
        <v>178</v>
      </c>
      <c r="AN26" t="s">
        <v>177</v>
      </c>
      <c r="AO26" t="s">
        <v>177</v>
      </c>
      <c r="AP26" t="s">
        <v>177</v>
      </c>
      <c r="AQ26">
        <v>38</v>
      </c>
    </row>
    <row r="27" spans="1:43" x14ac:dyDescent="0.25">
      <c r="A27">
        <v>20160324</v>
      </c>
      <c r="B27" s="7" t="s">
        <v>117</v>
      </c>
      <c r="C27" t="s">
        <v>110</v>
      </c>
      <c r="D27" t="s">
        <v>99</v>
      </c>
      <c r="E27" t="s">
        <v>138</v>
      </c>
      <c r="I27">
        <v>21</v>
      </c>
      <c r="J27">
        <v>205</v>
      </c>
      <c r="K27">
        <f t="shared" si="0"/>
        <v>47.857142857142854</v>
      </c>
      <c r="L27">
        <f t="shared" si="1"/>
        <v>7.0886127092180233</v>
      </c>
      <c r="N27" t="s">
        <v>177</v>
      </c>
      <c r="O27">
        <v>71</v>
      </c>
      <c r="P27" t="s">
        <v>178</v>
      </c>
      <c r="Q27" t="s">
        <v>178</v>
      </c>
      <c r="R27">
        <v>40</v>
      </c>
      <c r="S27" t="s">
        <v>178</v>
      </c>
      <c r="T27">
        <v>28</v>
      </c>
      <c r="U27" t="s">
        <v>177</v>
      </c>
      <c r="V27">
        <v>72</v>
      </c>
      <c r="W27">
        <v>17</v>
      </c>
      <c r="X27">
        <v>59</v>
      </c>
      <c r="Y27">
        <v>50</v>
      </c>
      <c r="Z27">
        <v>43</v>
      </c>
      <c r="AA27" t="s">
        <v>178</v>
      </c>
      <c r="AB27">
        <v>27</v>
      </c>
      <c r="AC27" t="s">
        <v>177</v>
      </c>
      <c r="AD27">
        <v>0.5</v>
      </c>
      <c r="AE27" t="s">
        <v>178</v>
      </c>
      <c r="AF27" t="s">
        <v>178</v>
      </c>
      <c r="AG27">
        <v>29</v>
      </c>
      <c r="AH27">
        <v>67</v>
      </c>
      <c r="AI27">
        <v>100</v>
      </c>
      <c r="AJ27" t="s">
        <v>178</v>
      </c>
      <c r="AK27">
        <v>66.5</v>
      </c>
      <c r="AL27" t="s">
        <v>178</v>
      </c>
      <c r="AM27" t="s">
        <v>178</v>
      </c>
      <c r="AN27" t="s">
        <v>177</v>
      </c>
      <c r="AO27" t="s">
        <v>177</v>
      </c>
      <c r="AP27" t="s">
        <v>177</v>
      </c>
      <c r="AQ27" t="s">
        <v>178</v>
      </c>
    </row>
    <row r="28" spans="1:43" x14ac:dyDescent="0.25">
      <c r="A28">
        <v>20160302</v>
      </c>
      <c r="B28" s="7" t="s">
        <v>118</v>
      </c>
      <c r="C28" t="s">
        <v>97</v>
      </c>
      <c r="D28" t="s">
        <v>99</v>
      </c>
      <c r="E28" t="s">
        <v>139</v>
      </c>
      <c r="I28">
        <v>22</v>
      </c>
      <c r="J28">
        <v>215</v>
      </c>
      <c r="K28">
        <f t="shared" si="0"/>
        <v>47.2</v>
      </c>
      <c r="L28">
        <f t="shared" si="1"/>
        <v>7.0294956806167486</v>
      </c>
      <c r="N28" t="s">
        <v>177</v>
      </c>
      <c r="O28">
        <v>75</v>
      </c>
      <c r="P28" t="s">
        <v>178</v>
      </c>
      <c r="Q28" t="s">
        <v>178</v>
      </c>
      <c r="R28">
        <v>40.5</v>
      </c>
      <c r="S28" t="s">
        <v>178</v>
      </c>
      <c r="T28">
        <v>21.5</v>
      </c>
      <c r="U28" t="s">
        <v>177</v>
      </c>
      <c r="V28">
        <v>74</v>
      </c>
      <c r="W28">
        <v>16</v>
      </c>
      <c r="X28">
        <v>63</v>
      </c>
      <c r="Y28">
        <v>59</v>
      </c>
      <c r="Z28">
        <v>40</v>
      </c>
      <c r="AA28" t="s">
        <v>178</v>
      </c>
      <c r="AB28">
        <v>30</v>
      </c>
      <c r="AC28">
        <v>35</v>
      </c>
      <c r="AD28">
        <v>1</v>
      </c>
      <c r="AE28">
        <v>82</v>
      </c>
      <c r="AF28" t="s">
        <v>178</v>
      </c>
      <c r="AG28">
        <v>25</v>
      </c>
      <c r="AH28" t="s">
        <v>178</v>
      </c>
      <c r="AI28">
        <v>97</v>
      </c>
      <c r="AJ28">
        <v>49</v>
      </c>
      <c r="AK28" t="s">
        <v>178</v>
      </c>
      <c r="AL28" t="s">
        <v>178</v>
      </c>
      <c r="AM28" t="s">
        <v>178</v>
      </c>
      <c r="AN28" t="s">
        <v>177</v>
      </c>
      <c r="AO28" t="s">
        <v>177</v>
      </c>
      <c r="AP28" t="s">
        <v>177</v>
      </c>
      <c r="AQ28" t="s">
        <v>178</v>
      </c>
    </row>
    <row r="29" spans="1:43" x14ac:dyDescent="0.25">
      <c r="A29">
        <v>20160302</v>
      </c>
      <c r="B29" s="7" t="s">
        <v>118</v>
      </c>
      <c r="C29" t="s">
        <v>102</v>
      </c>
      <c r="D29" t="s">
        <v>99</v>
      </c>
      <c r="E29" t="s">
        <v>140</v>
      </c>
      <c r="I29">
        <v>23</v>
      </c>
      <c r="J29">
        <v>225</v>
      </c>
      <c r="K29">
        <f t="shared" si="0"/>
        <v>43.384615384615387</v>
      </c>
      <c r="L29">
        <f t="shared" si="1"/>
        <v>5.4602743210162528</v>
      </c>
      <c r="N29" t="s">
        <v>177</v>
      </c>
      <c r="O29">
        <v>78</v>
      </c>
      <c r="P29" t="s">
        <v>178</v>
      </c>
      <c r="Q29" t="s">
        <v>178</v>
      </c>
      <c r="R29">
        <v>47</v>
      </c>
      <c r="S29" t="s">
        <v>178</v>
      </c>
      <c r="T29">
        <v>40</v>
      </c>
      <c r="U29" t="s">
        <v>177</v>
      </c>
      <c r="V29">
        <v>65</v>
      </c>
      <c r="W29">
        <v>17</v>
      </c>
      <c r="X29">
        <v>70</v>
      </c>
      <c r="Y29" t="s">
        <v>178</v>
      </c>
      <c r="Z29">
        <v>47</v>
      </c>
      <c r="AA29">
        <v>35</v>
      </c>
      <c r="AB29">
        <v>31</v>
      </c>
      <c r="AC29" t="s">
        <v>177</v>
      </c>
      <c r="AD29">
        <v>12</v>
      </c>
      <c r="AE29" t="s">
        <v>178</v>
      </c>
      <c r="AF29" t="s">
        <v>178</v>
      </c>
      <c r="AG29">
        <v>28</v>
      </c>
      <c r="AH29" t="s">
        <v>178</v>
      </c>
      <c r="AI29" t="s">
        <v>178</v>
      </c>
      <c r="AJ29">
        <v>53</v>
      </c>
      <c r="AK29" t="s">
        <v>178</v>
      </c>
      <c r="AL29" t="s">
        <v>178</v>
      </c>
      <c r="AM29" t="s">
        <v>178</v>
      </c>
      <c r="AN29" t="s">
        <v>177</v>
      </c>
      <c r="AO29" t="s">
        <v>177</v>
      </c>
      <c r="AP29" t="s">
        <v>177</v>
      </c>
      <c r="AQ29">
        <v>41</v>
      </c>
    </row>
    <row r="30" spans="1:43" x14ac:dyDescent="0.25">
      <c r="A30">
        <v>20160302</v>
      </c>
      <c r="B30" s="7" t="s">
        <v>118</v>
      </c>
      <c r="C30" t="s">
        <v>103</v>
      </c>
      <c r="D30" t="s">
        <v>99</v>
      </c>
      <c r="E30">
        <v>16302082</v>
      </c>
      <c r="I30">
        <v>24</v>
      </c>
      <c r="J30">
        <v>235</v>
      </c>
      <c r="K30">
        <f t="shared" si="0"/>
        <v>49.0625</v>
      </c>
      <c r="L30">
        <f t="shared" si="1"/>
        <v>6.5118281803192568</v>
      </c>
      <c r="N30" t="s">
        <v>177</v>
      </c>
      <c r="O30" t="s">
        <v>177</v>
      </c>
      <c r="P30" t="s">
        <v>178</v>
      </c>
      <c r="Q30" t="s">
        <v>178</v>
      </c>
      <c r="R30">
        <v>48</v>
      </c>
      <c r="S30" t="s">
        <v>178</v>
      </c>
      <c r="T30">
        <v>36</v>
      </c>
      <c r="U30">
        <v>3</v>
      </c>
      <c r="V30">
        <v>79</v>
      </c>
      <c r="W30">
        <v>19</v>
      </c>
      <c r="X30">
        <v>66</v>
      </c>
      <c r="Y30">
        <v>61</v>
      </c>
      <c r="Z30">
        <v>44</v>
      </c>
      <c r="AA30">
        <v>71</v>
      </c>
      <c r="AB30">
        <v>29</v>
      </c>
      <c r="AC30" t="s">
        <v>177</v>
      </c>
      <c r="AD30">
        <v>9</v>
      </c>
      <c r="AE30">
        <v>87</v>
      </c>
      <c r="AF30">
        <v>79</v>
      </c>
      <c r="AG30">
        <v>29</v>
      </c>
      <c r="AH30">
        <v>67</v>
      </c>
      <c r="AI30" t="s">
        <v>178</v>
      </c>
      <c r="AJ30">
        <v>58</v>
      </c>
      <c r="AK30" t="s">
        <v>178</v>
      </c>
      <c r="AL30" t="s">
        <v>178</v>
      </c>
      <c r="AM30" t="s">
        <v>178</v>
      </c>
      <c r="AN30" t="s">
        <v>177</v>
      </c>
      <c r="AO30" t="s">
        <v>177</v>
      </c>
      <c r="AP30" t="s">
        <v>177</v>
      </c>
      <c r="AQ30" t="s">
        <v>178</v>
      </c>
    </row>
    <row r="31" spans="1:43" x14ac:dyDescent="0.25">
      <c r="A31">
        <v>20160224</v>
      </c>
      <c r="B31" s="7" t="s">
        <v>112</v>
      </c>
      <c r="C31" t="s">
        <v>97</v>
      </c>
      <c r="D31" t="s">
        <v>99</v>
      </c>
      <c r="E31">
        <v>16224009</v>
      </c>
      <c r="I31">
        <v>25</v>
      </c>
      <c r="J31">
        <v>245</v>
      </c>
      <c r="K31">
        <f t="shared" si="0"/>
        <v>44.392857142857146</v>
      </c>
      <c r="L31">
        <f t="shared" si="1"/>
        <v>7.3962008682934259</v>
      </c>
      <c r="N31" t="s">
        <v>177</v>
      </c>
      <c r="O31" t="s">
        <v>177</v>
      </c>
      <c r="P31" t="s">
        <v>178</v>
      </c>
      <c r="Q31" t="s">
        <v>178</v>
      </c>
      <c r="R31">
        <v>45.5</v>
      </c>
      <c r="S31" t="s">
        <v>178</v>
      </c>
      <c r="T31">
        <v>27</v>
      </c>
      <c r="U31">
        <v>3</v>
      </c>
      <c r="V31">
        <v>81</v>
      </c>
      <c r="W31">
        <v>12</v>
      </c>
      <c r="X31" t="s">
        <v>177</v>
      </c>
      <c r="Y31">
        <v>67</v>
      </c>
      <c r="Z31">
        <v>49</v>
      </c>
      <c r="AA31">
        <v>40</v>
      </c>
      <c r="AB31">
        <v>32</v>
      </c>
      <c r="AC31" t="s">
        <v>177</v>
      </c>
      <c r="AD31">
        <v>11</v>
      </c>
      <c r="AE31">
        <v>88</v>
      </c>
      <c r="AF31">
        <v>81</v>
      </c>
      <c r="AG31" t="s">
        <v>178</v>
      </c>
      <c r="AH31" t="s">
        <v>178</v>
      </c>
      <c r="AI31" t="s">
        <v>178</v>
      </c>
      <c r="AJ31">
        <v>58</v>
      </c>
      <c r="AK31" t="s">
        <v>178</v>
      </c>
      <c r="AL31" t="s">
        <v>178</v>
      </c>
      <c r="AM31" t="s">
        <v>178</v>
      </c>
      <c r="AN31" t="s">
        <v>177</v>
      </c>
      <c r="AO31" t="s">
        <v>177</v>
      </c>
      <c r="AP31" t="s">
        <v>177</v>
      </c>
      <c r="AQ31">
        <v>27</v>
      </c>
    </row>
    <row r="32" spans="1:43" x14ac:dyDescent="0.25">
      <c r="A32">
        <v>20160224</v>
      </c>
      <c r="B32" s="7" t="s">
        <v>112</v>
      </c>
      <c r="C32" t="s">
        <v>101</v>
      </c>
      <c r="D32" t="s">
        <v>99</v>
      </c>
      <c r="E32">
        <v>16224042</v>
      </c>
      <c r="I32">
        <v>26</v>
      </c>
      <c r="J32">
        <v>255</v>
      </c>
      <c r="K32">
        <f t="shared" si="0"/>
        <v>45.416666666666664</v>
      </c>
      <c r="L32">
        <f t="shared" si="1"/>
        <v>6.6948740379366667</v>
      </c>
      <c r="N32" t="s">
        <v>177</v>
      </c>
      <c r="O32" t="s">
        <v>177</v>
      </c>
      <c r="P32" t="s">
        <v>178</v>
      </c>
      <c r="Q32" t="s">
        <v>178</v>
      </c>
      <c r="R32">
        <v>47.5</v>
      </c>
      <c r="S32" t="s">
        <v>178</v>
      </c>
      <c r="T32">
        <v>29</v>
      </c>
      <c r="U32" t="s">
        <v>177</v>
      </c>
      <c r="V32">
        <v>77</v>
      </c>
      <c r="W32">
        <v>18</v>
      </c>
      <c r="X32">
        <v>77</v>
      </c>
      <c r="Y32">
        <v>61</v>
      </c>
      <c r="Z32">
        <v>51</v>
      </c>
      <c r="AA32">
        <v>33.5</v>
      </c>
      <c r="AB32">
        <v>32</v>
      </c>
      <c r="AC32" t="s">
        <v>177</v>
      </c>
      <c r="AD32">
        <v>11</v>
      </c>
      <c r="AE32" t="s">
        <v>178</v>
      </c>
      <c r="AF32">
        <v>76</v>
      </c>
      <c r="AG32">
        <v>32</v>
      </c>
      <c r="AH32" t="s">
        <v>178</v>
      </c>
      <c r="AI32" t="s">
        <v>178</v>
      </c>
      <c r="AJ32" t="s">
        <v>178</v>
      </c>
      <c r="AK32" t="s">
        <v>178</v>
      </c>
      <c r="AL32" t="s">
        <v>178</v>
      </c>
      <c r="AM32" t="s">
        <v>178</v>
      </c>
      <c r="AN32" t="s">
        <v>177</v>
      </c>
      <c r="AO32" t="s">
        <v>177</v>
      </c>
      <c r="AP32" t="s">
        <v>177</v>
      </c>
      <c r="AQ32" t="s">
        <v>178</v>
      </c>
    </row>
    <row r="33" spans="1:58" x14ac:dyDescent="0.25">
      <c r="A33">
        <v>20160224</v>
      </c>
      <c r="B33" s="7" t="s">
        <v>112</v>
      </c>
      <c r="C33" t="s">
        <v>103</v>
      </c>
      <c r="D33" t="s">
        <v>99</v>
      </c>
      <c r="E33" t="s">
        <v>141</v>
      </c>
      <c r="I33">
        <v>27</v>
      </c>
      <c r="J33">
        <v>265</v>
      </c>
      <c r="K33">
        <f t="shared" si="0"/>
        <v>33.15</v>
      </c>
      <c r="L33">
        <f t="shared" si="1"/>
        <v>6.5574597046247849</v>
      </c>
      <c r="N33" t="s">
        <v>177</v>
      </c>
      <c r="O33" t="s">
        <v>177</v>
      </c>
      <c r="P33" t="s">
        <v>178</v>
      </c>
      <c r="Q33" t="s">
        <v>178</v>
      </c>
      <c r="R33" t="s">
        <v>178</v>
      </c>
      <c r="S33" t="s">
        <v>178</v>
      </c>
      <c r="T33">
        <v>38.5</v>
      </c>
      <c r="U33">
        <v>2</v>
      </c>
      <c r="V33" t="s">
        <v>177</v>
      </c>
      <c r="W33">
        <v>11</v>
      </c>
      <c r="X33">
        <v>63</v>
      </c>
      <c r="Y33">
        <v>62</v>
      </c>
      <c r="Z33">
        <v>45</v>
      </c>
      <c r="AA33">
        <v>30</v>
      </c>
      <c r="AB33">
        <v>32</v>
      </c>
      <c r="AC33" t="s">
        <v>177</v>
      </c>
      <c r="AD33">
        <v>11</v>
      </c>
      <c r="AE33" t="s">
        <v>178</v>
      </c>
      <c r="AF33" t="s">
        <v>178</v>
      </c>
      <c r="AG33">
        <v>37</v>
      </c>
      <c r="AH33" t="s">
        <v>178</v>
      </c>
      <c r="AI33" t="s">
        <v>178</v>
      </c>
      <c r="AJ33" t="s">
        <v>178</v>
      </c>
      <c r="AK33" t="s">
        <v>178</v>
      </c>
      <c r="AL33" t="s">
        <v>178</v>
      </c>
      <c r="AM33" t="s">
        <v>178</v>
      </c>
      <c r="AN33" t="s">
        <v>177</v>
      </c>
      <c r="AO33" t="s">
        <v>177</v>
      </c>
      <c r="AP33" t="s">
        <v>177</v>
      </c>
      <c r="AQ33" t="s">
        <v>178</v>
      </c>
    </row>
    <row r="34" spans="1:58" x14ac:dyDescent="0.25">
      <c r="A34">
        <v>20160224</v>
      </c>
      <c r="B34" s="7" t="s">
        <v>112</v>
      </c>
      <c r="C34" t="s">
        <v>107</v>
      </c>
      <c r="D34" t="s">
        <v>99</v>
      </c>
      <c r="E34">
        <v>16224109</v>
      </c>
      <c r="I34">
        <v>28</v>
      </c>
      <c r="J34">
        <v>275</v>
      </c>
      <c r="K34">
        <f t="shared" si="0"/>
        <v>39.363636363636367</v>
      </c>
      <c r="L34">
        <f t="shared" si="1"/>
        <v>7.6779172451349398</v>
      </c>
      <c r="N34" t="s">
        <v>177</v>
      </c>
      <c r="O34" t="s">
        <v>177</v>
      </c>
      <c r="P34" t="s">
        <v>178</v>
      </c>
      <c r="Q34" t="s">
        <v>178</v>
      </c>
      <c r="R34" t="s">
        <v>178</v>
      </c>
      <c r="S34" t="s">
        <v>178</v>
      </c>
      <c r="T34">
        <v>45</v>
      </c>
      <c r="U34">
        <v>3</v>
      </c>
      <c r="V34">
        <v>80</v>
      </c>
      <c r="W34">
        <v>10</v>
      </c>
      <c r="X34">
        <v>48</v>
      </c>
      <c r="Y34">
        <v>70</v>
      </c>
      <c r="Z34">
        <v>31</v>
      </c>
      <c r="AA34">
        <v>27</v>
      </c>
      <c r="AB34" t="s">
        <v>178</v>
      </c>
      <c r="AC34" t="s">
        <v>177</v>
      </c>
      <c r="AD34">
        <v>10</v>
      </c>
      <c r="AE34" t="s">
        <v>178</v>
      </c>
      <c r="AF34">
        <v>49</v>
      </c>
      <c r="AG34" t="s">
        <v>178</v>
      </c>
      <c r="AH34" t="s">
        <v>178</v>
      </c>
      <c r="AI34" t="s">
        <v>178</v>
      </c>
      <c r="AJ34">
        <v>60</v>
      </c>
      <c r="AK34" t="s">
        <v>178</v>
      </c>
      <c r="AL34" t="s">
        <v>178</v>
      </c>
      <c r="AM34" t="s">
        <v>178</v>
      </c>
      <c r="AN34" t="s">
        <v>177</v>
      </c>
      <c r="AO34" t="s">
        <v>177</v>
      </c>
      <c r="AP34" t="s">
        <v>177</v>
      </c>
      <c r="AQ34" t="s">
        <v>178</v>
      </c>
    </row>
    <row r="35" spans="1:58" x14ac:dyDescent="0.25">
      <c r="A35">
        <v>20160412</v>
      </c>
      <c r="B35" s="7" t="s">
        <v>116</v>
      </c>
      <c r="C35" t="s">
        <v>97</v>
      </c>
      <c r="D35" t="s">
        <v>99</v>
      </c>
      <c r="E35">
        <v>16412021</v>
      </c>
      <c r="I35">
        <v>29</v>
      </c>
      <c r="J35">
        <v>285</v>
      </c>
      <c r="K35">
        <f t="shared" si="0"/>
        <v>31.59090909090909</v>
      </c>
      <c r="L35">
        <f t="shared" si="1"/>
        <v>6.5688030533514254</v>
      </c>
      <c r="N35" t="s">
        <v>177</v>
      </c>
      <c r="O35" t="s">
        <v>177</v>
      </c>
      <c r="P35" t="s">
        <v>178</v>
      </c>
      <c r="Q35" t="s">
        <v>178</v>
      </c>
      <c r="R35" t="s">
        <v>178</v>
      </c>
      <c r="S35" t="s">
        <v>178</v>
      </c>
      <c r="T35">
        <v>41</v>
      </c>
      <c r="U35">
        <v>2</v>
      </c>
      <c r="V35">
        <v>66</v>
      </c>
      <c r="W35">
        <v>9</v>
      </c>
      <c r="X35" t="s">
        <v>177</v>
      </c>
      <c r="Y35">
        <v>66</v>
      </c>
      <c r="Z35">
        <v>44</v>
      </c>
      <c r="AA35">
        <v>23.5</v>
      </c>
      <c r="AB35">
        <v>34</v>
      </c>
      <c r="AC35">
        <v>35</v>
      </c>
      <c r="AD35">
        <v>11</v>
      </c>
      <c r="AE35" t="s">
        <v>178</v>
      </c>
      <c r="AF35" t="s">
        <v>178</v>
      </c>
      <c r="AG35" t="s">
        <v>178</v>
      </c>
      <c r="AH35" t="s">
        <v>178</v>
      </c>
      <c r="AI35" t="s">
        <v>178</v>
      </c>
      <c r="AJ35" t="s">
        <v>178</v>
      </c>
      <c r="AK35" t="s">
        <v>178</v>
      </c>
      <c r="AL35" t="s">
        <v>178</v>
      </c>
      <c r="AM35" t="s">
        <v>178</v>
      </c>
      <c r="AN35">
        <v>16</v>
      </c>
      <c r="AO35" t="s">
        <v>177</v>
      </c>
      <c r="AP35" t="s">
        <v>177</v>
      </c>
      <c r="AQ35" t="s">
        <v>178</v>
      </c>
    </row>
    <row r="36" spans="1:58" x14ac:dyDescent="0.25">
      <c r="A36">
        <v>20160412</v>
      </c>
      <c r="B36" s="7" t="s">
        <v>116</v>
      </c>
      <c r="C36" t="s">
        <v>101</v>
      </c>
      <c r="D36" t="s">
        <v>99</v>
      </c>
      <c r="E36" t="s">
        <v>142</v>
      </c>
      <c r="I36">
        <v>30</v>
      </c>
      <c r="J36">
        <v>295</v>
      </c>
      <c r="K36">
        <f t="shared" si="0"/>
        <v>37.5</v>
      </c>
      <c r="L36">
        <f t="shared" si="1"/>
        <v>7.333187644240466</v>
      </c>
      <c r="N36" t="s">
        <v>177</v>
      </c>
      <c r="O36" t="s">
        <v>177</v>
      </c>
      <c r="P36" t="s">
        <v>178</v>
      </c>
      <c r="Q36" t="s">
        <v>178</v>
      </c>
      <c r="R36" t="s">
        <v>178</v>
      </c>
      <c r="S36" t="s">
        <v>178</v>
      </c>
      <c r="T36">
        <v>41</v>
      </c>
      <c r="U36">
        <v>2</v>
      </c>
      <c r="V36">
        <v>67</v>
      </c>
      <c r="W36" t="s">
        <v>178</v>
      </c>
      <c r="X36">
        <v>33</v>
      </c>
      <c r="Y36">
        <v>74</v>
      </c>
      <c r="Z36">
        <v>23</v>
      </c>
      <c r="AA36">
        <v>25</v>
      </c>
      <c r="AB36" t="s">
        <v>178</v>
      </c>
      <c r="AC36">
        <v>42</v>
      </c>
      <c r="AD36">
        <v>15.5</v>
      </c>
      <c r="AE36">
        <v>95</v>
      </c>
      <c r="AF36">
        <v>32</v>
      </c>
      <c r="AG36" t="s">
        <v>178</v>
      </c>
      <c r="AH36" t="s">
        <v>178</v>
      </c>
      <c r="AI36" t="s">
        <v>178</v>
      </c>
      <c r="AJ36" t="s">
        <v>178</v>
      </c>
      <c r="AK36" t="s">
        <v>178</v>
      </c>
      <c r="AL36">
        <v>20</v>
      </c>
      <c r="AM36" t="s">
        <v>178</v>
      </c>
      <c r="AN36">
        <v>18</v>
      </c>
      <c r="AO36" t="s">
        <v>177</v>
      </c>
      <c r="AP36" t="s">
        <v>177</v>
      </c>
      <c r="AQ36" t="s">
        <v>178</v>
      </c>
    </row>
    <row r="37" spans="1:58" x14ac:dyDescent="0.25">
      <c r="A37">
        <v>20160412</v>
      </c>
      <c r="B37" s="7" t="s">
        <v>116</v>
      </c>
      <c r="C37" t="s">
        <v>102</v>
      </c>
      <c r="D37" t="s">
        <v>99</v>
      </c>
      <c r="E37">
        <v>16412073</v>
      </c>
    </row>
    <row r="38" spans="1:58" x14ac:dyDescent="0.25">
      <c r="A38">
        <v>20160412</v>
      </c>
      <c r="B38" s="7" t="s">
        <v>116</v>
      </c>
      <c r="C38" t="s">
        <v>107</v>
      </c>
      <c r="D38" t="s">
        <v>99</v>
      </c>
      <c r="E38" t="s">
        <v>143</v>
      </c>
    </row>
    <row r="39" spans="1:58" x14ac:dyDescent="0.25">
      <c r="A39">
        <v>20160412</v>
      </c>
      <c r="B39" s="7" t="s">
        <v>116</v>
      </c>
      <c r="C39" t="s">
        <v>104</v>
      </c>
      <c r="D39" t="s">
        <v>99</v>
      </c>
      <c r="E39" t="s">
        <v>144</v>
      </c>
    </row>
    <row r="40" spans="1:58" x14ac:dyDescent="0.25">
      <c r="A40">
        <v>20160412</v>
      </c>
      <c r="B40" s="7" t="s">
        <v>116</v>
      </c>
      <c r="C40" t="s">
        <v>115</v>
      </c>
      <c r="D40" t="s">
        <v>99</v>
      </c>
      <c r="E40" t="s">
        <v>145</v>
      </c>
      <c r="H40" s="1" t="s">
        <v>81</v>
      </c>
    </row>
    <row r="41" spans="1:58" x14ac:dyDescent="0.25">
      <c r="A41">
        <v>20160412</v>
      </c>
      <c r="B41" s="7" t="s">
        <v>116</v>
      </c>
      <c r="C41" t="s">
        <v>110</v>
      </c>
      <c r="D41" t="s">
        <v>99</v>
      </c>
      <c r="E41" t="s">
        <v>146</v>
      </c>
      <c r="N41">
        <v>10</v>
      </c>
      <c r="O41">
        <v>11</v>
      </c>
      <c r="P41">
        <v>12</v>
      </c>
      <c r="Q41">
        <v>13</v>
      </c>
      <c r="R41">
        <v>14</v>
      </c>
      <c r="S41">
        <v>15</v>
      </c>
      <c r="T41">
        <v>16</v>
      </c>
      <c r="U41">
        <v>17</v>
      </c>
      <c r="V41">
        <v>18</v>
      </c>
      <c r="W41">
        <v>19</v>
      </c>
      <c r="X41">
        <v>20</v>
      </c>
      <c r="Y41">
        <v>21</v>
      </c>
      <c r="Z41">
        <v>22</v>
      </c>
      <c r="AA41">
        <v>23</v>
      </c>
      <c r="AB41">
        <v>24</v>
      </c>
      <c r="AC41">
        <v>25</v>
      </c>
      <c r="AD41">
        <v>26</v>
      </c>
      <c r="AE41">
        <v>27</v>
      </c>
      <c r="AF41">
        <v>28</v>
      </c>
      <c r="AG41">
        <v>29</v>
      </c>
      <c r="AH41">
        <v>30</v>
      </c>
      <c r="AI41">
        <v>35</v>
      </c>
      <c r="AJ41">
        <v>36</v>
      </c>
      <c r="AK41">
        <v>37</v>
      </c>
      <c r="AL41">
        <v>38</v>
      </c>
      <c r="AM41">
        <v>39</v>
      </c>
      <c r="AN41">
        <v>40</v>
      </c>
      <c r="AO41">
        <v>41</v>
      </c>
      <c r="AP41">
        <v>42</v>
      </c>
      <c r="AQ41">
        <v>43</v>
      </c>
      <c r="AR41">
        <v>44</v>
      </c>
      <c r="AS41">
        <v>45</v>
      </c>
      <c r="AT41">
        <v>46</v>
      </c>
      <c r="AU41">
        <v>47</v>
      </c>
      <c r="AV41">
        <v>59</v>
      </c>
      <c r="AW41">
        <v>60</v>
      </c>
      <c r="AX41">
        <v>61</v>
      </c>
      <c r="AY41">
        <v>63</v>
      </c>
      <c r="AZ41">
        <v>64</v>
      </c>
      <c r="BA41">
        <v>65</v>
      </c>
      <c r="BB41">
        <v>70</v>
      </c>
      <c r="BC41">
        <v>71</v>
      </c>
      <c r="BD41">
        <v>72</v>
      </c>
      <c r="BE41">
        <v>73</v>
      </c>
      <c r="BF41">
        <v>75</v>
      </c>
    </row>
    <row r="42" spans="1:58" x14ac:dyDescent="0.25">
      <c r="A42">
        <v>20160412</v>
      </c>
      <c r="B42" s="7" t="s">
        <v>116</v>
      </c>
      <c r="C42" t="s">
        <v>111</v>
      </c>
      <c r="D42" t="s">
        <v>99</v>
      </c>
      <c r="E42">
        <v>16412209</v>
      </c>
      <c r="I42" t="s">
        <v>173</v>
      </c>
      <c r="J42" t="s">
        <v>174</v>
      </c>
      <c r="K42" t="s">
        <v>175</v>
      </c>
      <c r="L42" t="s">
        <v>119</v>
      </c>
      <c r="N42" t="s">
        <v>16</v>
      </c>
      <c r="O42" t="s">
        <v>17</v>
      </c>
      <c r="P42" t="s">
        <v>18</v>
      </c>
      <c r="Q42" t="s">
        <v>20</v>
      </c>
      <c r="R42" t="s">
        <v>21</v>
      </c>
      <c r="S42" t="s">
        <v>22</v>
      </c>
      <c r="T42" t="s">
        <v>23</v>
      </c>
      <c r="U42" t="s">
        <v>24</v>
      </c>
      <c r="V42" t="s">
        <v>25</v>
      </c>
      <c r="W42" t="s">
        <v>26</v>
      </c>
      <c r="X42" t="s">
        <v>27</v>
      </c>
      <c r="Y42" t="s">
        <v>28</v>
      </c>
      <c r="Z42" t="s">
        <v>29</v>
      </c>
      <c r="AA42" t="s">
        <v>30</v>
      </c>
      <c r="AB42" t="s">
        <v>31</v>
      </c>
      <c r="AC42" t="s">
        <v>32</v>
      </c>
      <c r="AD42" t="s">
        <v>33</v>
      </c>
      <c r="AE42" t="s">
        <v>34</v>
      </c>
      <c r="AF42" t="s">
        <v>35</v>
      </c>
      <c r="AG42" t="s">
        <v>36</v>
      </c>
      <c r="AH42" t="s">
        <v>37</v>
      </c>
      <c r="AI42" t="s">
        <v>42</v>
      </c>
      <c r="AJ42" t="s">
        <v>43</v>
      </c>
      <c r="AK42" t="s">
        <v>44</v>
      </c>
      <c r="AL42" t="s">
        <v>45</v>
      </c>
      <c r="AM42" t="s">
        <v>46</v>
      </c>
      <c r="AN42" t="s">
        <v>47</v>
      </c>
      <c r="AO42" t="s">
        <v>48</v>
      </c>
      <c r="AP42" t="s">
        <v>49</v>
      </c>
      <c r="AQ42" t="s">
        <v>50</v>
      </c>
      <c r="AR42" t="s">
        <v>51</v>
      </c>
      <c r="AS42" t="s">
        <v>52</v>
      </c>
      <c r="AT42" t="s">
        <v>53</v>
      </c>
      <c r="AU42" t="s">
        <v>54</v>
      </c>
      <c r="AV42" t="s">
        <v>66</v>
      </c>
      <c r="AW42" t="s">
        <v>67</v>
      </c>
      <c r="AX42" t="s">
        <v>68</v>
      </c>
      <c r="AY42" t="s">
        <v>70</v>
      </c>
      <c r="AZ42" t="s">
        <v>71</v>
      </c>
      <c r="BA42" t="s">
        <v>5</v>
      </c>
      <c r="BB42" t="s">
        <v>76</v>
      </c>
      <c r="BC42" t="s">
        <v>77</v>
      </c>
      <c r="BD42" t="s">
        <v>78</v>
      </c>
      <c r="BE42" t="s">
        <v>79</v>
      </c>
      <c r="BF42" s="3" t="s">
        <v>19</v>
      </c>
    </row>
    <row r="43" spans="1:58" x14ac:dyDescent="0.25">
      <c r="A43">
        <v>20160413</v>
      </c>
      <c r="B43" s="7" t="s">
        <v>113</v>
      </c>
      <c r="C43" t="s">
        <v>97</v>
      </c>
      <c r="D43" t="s">
        <v>99</v>
      </c>
      <c r="E43" t="s">
        <v>147</v>
      </c>
    </row>
    <row r="44" spans="1:58" x14ac:dyDescent="0.25">
      <c r="A44">
        <v>20160413</v>
      </c>
      <c r="B44" s="7" t="s">
        <v>113</v>
      </c>
      <c r="C44" t="s">
        <v>101</v>
      </c>
      <c r="D44" t="s">
        <v>99</v>
      </c>
      <c r="E44">
        <v>16413049</v>
      </c>
      <c r="I44">
        <v>1</v>
      </c>
      <c r="J44">
        <v>5</v>
      </c>
      <c r="K44">
        <f t="shared" ref="K44:K73" si="2">AVERAGE(N44:BP44)</f>
        <v>5.9523809523809521E-2</v>
      </c>
      <c r="L44">
        <f t="shared" ref="L44:L73" si="3">STDEV(N44:BP44)/SQRT(COUNT(N44:BP44))</f>
        <v>4.2437290458759415E-2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176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1.5</v>
      </c>
      <c r="AP44">
        <v>0</v>
      </c>
      <c r="AQ44">
        <v>1</v>
      </c>
      <c r="AR44">
        <v>0</v>
      </c>
      <c r="AS44">
        <v>0</v>
      </c>
      <c r="AT44" t="s">
        <v>176</v>
      </c>
      <c r="AU44" t="s">
        <v>177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20160413</v>
      </c>
      <c r="B45" s="7" t="s">
        <v>113</v>
      </c>
      <c r="C45" t="s">
        <v>103</v>
      </c>
      <c r="D45" t="s">
        <v>99</v>
      </c>
      <c r="E45" t="s">
        <v>148</v>
      </c>
      <c r="I45">
        <v>2</v>
      </c>
      <c r="J45">
        <v>15</v>
      </c>
      <c r="K45">
        <f t="shared" si="2"/>
        <v>1.3495926829268292</v>
      </c>
      <c r="L45">
        <f t="shared" si="3"/>
        <v>0.64223014266779821</v>
      </c>
      <c r="N45" t="s">
        <v>177</v>
      </c>
      <c r="O45">
        <v>0</v>
      </c>
      <c r="P45">
        <v>0</v>
      </c>
      <c r="Q45">
        <v>0</v>
      </c>
      <c r="R45">
        <v>5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177</v>
      </c>
      <c r="AJ45">
        <v>0</v>
      </c>
      <c r="AK45">
        <v>0</v>
      </c>
      <c r="AL45">
        <v>0</v>
      </c>
      <c r="AM45">
        <v>0</v>
      </c>
      <c r="AN45">
        <v>6</v>
      </c>
      <c r="AO45">
        <v>8</v>
      </c>
      <c r="AP45">
        <v>24</v>
      </c>
      <c r="AQ45">
        <v>6</v>
      </c>
      <c r="AR45">
        <v>0</v>
      </c>
      <c r="AS45">
        <v>3</v>
      </c>
      <c r="AT45">
        <v>0</v>
      </c>
      <c r="AU45" t="s">
        <v>177</v>
      </c>
      <c r="AV45" t="s">
        <v>177</v>
      </c>
      <c r="AW45">
        <v>0.33329999999999999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5">
      <c r="A46">
        <v>20160413</v>
      </c>
      <c r="B46" s="7" t="s">
        <v>113</v>
      </c>
      <c r="C46" t="s">
        <v>104</v>
      </c>
      <c r="D46" t="s">
        <v>99</v>
      </c>
      <c r="E46">
        <v>16413146</v>
      </c>
      <c r="I46">
        <v>3</v>
      </c>
      <c r="J46">
        <v>25</v>
      </c>
      <c r="K46">
        <f t="shared" si="2"/>
        <v>3.0852720930232556</v>
      </c>
      <c r="L46">
        <f t="shared" si="3"/>
        <v>0.94797248866284856</v>
      </c>
      <c r="N46">
        <v>2</v>
      </c>
      <c r="O46">
        <v>0</v>
      </c>
      <c r="P46">
        <v>0</v>
      </c>
      <c r="Q46">
        <v>0</v>
      </c>
      <c r="R46">
        <v>8</v>
      </c>
      <c r="S46">
        <v>0</v>
      </c>
      <c r="T46">
        <v>0</v>
      </c>
      <c r="U46">
        <v>0</v>
      </c>
      <c r="V46">
        <v>4</v>
      </c>
      <c r="W46">
        <v>0</v>
      </c>
      <c r="X46">
        <v>0</v>
      </c>
      <c r="Y46">
        <v>2</v>
      </c>
      <c r="Z46">
        <v>0</v>
      </c>
      <c r="AA46">
        <v>3</v>
      </c>
      <c r="AB46">
        <v>6</v>
      </c>
      <c r="AC46">
        <v>6.5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1.5</v>
      </c>
      <c r="AK46">
        <v>0</v>
      </c>
      <c r="AL46">
        <v>0</v>
      </c>
      <c r="AM46">
        <v>0</v>
      </c>
      <c r="AN46">
        <v>19.5</v>
      </c>
      <c r="AO46">
        <v>17</v>
      </c>
      <c r="AP46">
        <v>30</v>
      </c>
      <c r="AQ46">
        <v>11.5</v>
      </c>
      <c r="AR46">
        <v>2</v>
      </c>
      <c r="AS46">
        <v>11</v>
      </c>
      <c r="AT46">
        <v>0</v>
      </c>
      <c r="AU46" t="s">
        <v>177</v>
      </c>
      <c r="AV46" t="s">
        <v>177</v>
      </c>
      <c r="AW46">
        <v>4.6666999999999996</v>
      </c>
      <c r="AX46">
        <v>0</v>
      </c>
      <c r="AY46">
        <v>0</v>
      </c>
      <c r="AZ46">
        <v>0.5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1.5</v>
      </c>
    </row>
    <row r="47" spans="1:58" x14ac:dyDescent="0.25">
      <c r="A47">
        <v>20160413</v>
      </c>
      <c r="B47" s="7" t="s">
        <v>113</v>
      </c>
      <c r="C47" t="s">
        <v>107</v>
      </c>
      <c r="D47" t="s">
        <v>99</v>
      </c>
      <c r="E47">
        <v>16413111</v>
      </c>
      <c r="I47">
        <v>4</v>
      </c>
      <c r="J47">
        <v>35</v>
      </c>
      <c r="K47">
        <f t="shared" si="2"/>
        <v>4.8888904761904755</v>
      </c>
      <c r="L47">
        <f t="shared" si="3"/>
        <v>1.0790132052670369</v>
      </c>
      <c r="N47" t="s">
        <v>177</v>
      </c>
      <c r="O47">
        <v>1</v>
      </c>
      <c r="P47">
        <v>0</v>
      </c>
      <c r="Q47">
        <v>5</v>
      </c>
      <c r="R47">
        <v>14</v>
      </c>
      <c r="S47">
        <v>0</v>
      </c>
      <c r="T47">
        <v>9</v>
      </c>
      <c r="U47">
        <v>9</v>
      </c>
      <c r="V47">
        <v>7</v>
      </c>
      <c r="W47">
        <v>0</v>
      </c>
      <c r="X47">
        <v>0</v>
      </c>
      <c r="Y47">
        <v>8.5</v>
      </c>
      <c r="Z47">
        <v>3.5</v>
      </c>
      <c r="AA47">
        <v>6</v>
      </c>
      <c r="AB47">
        <v>9</v>
      </c>
      <c r="AC47">
        <v>11.5</v>
      </c>
      <c r="AD47">
        <v>0</v>
      </c>
      <c r="AE47">
        <v>0</v>
      </c>
      <c r="AF47">
        <v>7</v>
      </c>
      <c r="AG47">
        <v>1.5</v>
      </c>
      <c r="AH47">
        <v>0</v>
      </c>
      <c r="AI47">
        <v>0</v>
      </c>
      <c r="AJ47">
        <v>0</v>
      </c>
      <c r="AK47">
        <v>0</v>
      </c>
      <c r="AL47">
        <v>4.5</v>
      </c>
      <c r="AM47">
        <v>19</v>
      </c>
      <c r="AN47">
        <v>29</v>
      </c>
      <c r="AO47">
        <v>25.666699999999999</v>
      </c>
      <c r="AP47" t="s">
        <v>177</v>
      </c>
      <c r="AQ47" t="s">
        <v>178</v>
      </c>
      <c r="AR47">
        <v>6</v>
      </c>
      <c r="AS47">
        <v>13</v>
      </c>
      <c r="AT47">
        <v>0</v>
      </c>
      <c r="AU47">
        <v>0</v>
      </c>
      <c r="AV47">
        <v>0</v>
      </c>
      <c r="AW47">
        <v>9.6667000000000005</v>
      </c>
      <c r="AX47">
        <v>2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1.5</v>
      </c>
    </row>
    <row r="48" spans="1:58" x14ac:dyDescent="0.25">
      <c r="A48">
        <v>20160317</v>
      </c>
      <c r="B48" s="7" t="s">
        <v>98</v>
      </c>
      <c r="C48" t="s">
        <v>97</v>
      </c>
      <c r="D48" t="s">
        <v>99</v>
      </c>
      <c r="E48" t="s">
        <v>149</v>
      </c>
      <c r="I48">
        <v>5</v>
      </c>
      <c r="J48">
        <v>45</v>
      </c>
      <c r="K48">
        <f t="shared" si="2"/>
        <v>8.5310093023255806</v>
      </c>
      <c r="L48">
        <f t="shared" si="3"/>
        <v>1.5515649282109327</v>
      </c>
      <c r="N48">
        <v>30</v>
      </c>
      <c r="O48">
        <v>3</v>
      </c>
      <c r="P48">
        <v>0</v>
      </c>
      <c r="Q48">
        <v>0</v>
      </c>
      <c r="R48">
        <v>20</v>
      </c>
      <c r="S48">
        <v>0</v>
      </c>
      <c r="T48" t="s">
        <v>177</v>
      </c>
      <c r="U48">
        <v>7.5</v>
      </c>
      <c r="V48">
        <v>12</v>
      </c>
      <c r="W48">
        <v>2.5</v>
      </c>
      <c r="X48">
        <v>0</v>
      </c>
      <c r="Y48">
        <v>13</v>
      </c>
      <c r="Z48">
        <v>0</v>
      </c>
      <c r="AA48">
        <v>10</v>
      </c>
      <c r="AB48">
        <v>11</v>
      </c>
      <c r="AC48">
        <v>15</v>
      </c>
      <c r="AD48">
        <v>0</v>
      </c>
      <c r="AE48">
        <v>0</v>
      </c>
      <c r="AF48">
        <v>11.666700000000001</v>
      </c>
      <c r="AG48">
        <v>5</v>
      </c>
      <c r="AH48">
        <v>0</v>
      </c>
      <c r="AI48">
        <v>0</v>
      </c>
      <c r="AJ48">
        <v>8.5</v>
      </c>
      <c r="AK48">
        <v>4</v>
      </c>
      <c r="AL48">
        <v>3.5</v>
      </c>
      <c r="AM48">
        <v>10.5</v>
      </c>
      <c r="AN48">
        <v>30</v>
      </c>
      <c r="AO48">
        <v>31</v>
      </c>
      <c r="AP48">
        <v>41</v>
      </c>
      <c r="AQ48">
        <v>21</v>
      </c>
      <c r="AR48">
        <v>11</v>
      </c>
      <c r="AS48">
        <v>18</v>
      </c>
      <c r="AT48" t="s">
        <v>177</v>
      </c>
      <c r="AU48">
        <v>8</v>
      </c>
      <c r="AV48">
        <v>0</v>
      </c>
      <c r="AW48">
        <v>16</v>
      </c>
      <c r="AX48">
        <v>0</v>
      </c>
      <c r="AY48">
        <v>0</v>
      </c>
      <c r="AZ48">
        <v>4.6666999999999996</v>
      </c>
      <c r="BA48">
        <v>0</v>
      </c>
      <c r="BB48">
        <v>0</v>
      </c>
      <c r="BC48">
        <v>0</v>
      </c>
      <c r="BD48">
        <v>6</v>
      </c>
      <c r="BE48">
        <v>0</v>
      </c>
      <c r="BF48">
        <v>13</v>
      </c>
    </row>
    <row r="49" spans="1:58" x14ac:dyDescent="0.25">
      <c r="A49">
        <v>20160317</v>
      </c>
      <c r="B49" s="7" t="s">
        <v>98</v>
      </c>
      <c r="C49" t="s">
        <v>101</v>
      </c>
      <c r="D49" t="s">
        <v>99</v>
      </c>
      <c r="E49" t="s">
        <v>150</v>
      </c>
      <c r="I49">
        <v>6</v>
      </c>
      <c r="J49">
        <v>55</v>
      </c>
      <c r="K49">
        <f t="shared" si="2"/>
        <v>10.483335</v>
      </c>
      <c r="L49">
        <f t="shared" si="3"/>
        <v>1.7646093572696084</v>
      </c>
      <c r="N49">
        <v>42</v>
      </c>
      <c r="O49">
        <v>6</v>
      </c>
      <c r="P49">
        <v>0</v>
      </c>
      <c r="Q49">
        <v>7.3333000000000004</v>
      </c>
      <c r="R49" t="s">
        <v>177</v>
      </c>
      <c r="S49">
        <v>0</v>
      </c>
      <c r="T49" t="s">
        <v>177</v>
      </c>
      <c r="U49">
        <v>8.5</v>
      </c>
      <c r="V49">
        <v>18</v>
      </c>
      <c r="W49">
        <v>5</v>
      </c>
      <c r="X49">
        <v>0</v>
      </c>
      <c r="Y49">
        <v>18</v>
      </c>
      <c r="Z49">
        <v>2.5</v>
      </c>
      <c r="AA49" t="s">
        <v>177</v>
      </c>
      <c r="AB49">
        <v>16</v>
      </c>
      <c r="AC49">
        <v>16.5</v>
      </c>
      <c r="AD49">
        <v>0</v>
      </c>
      <c r="AE49">
        <v>0</v>
      </c>
      <c r="AF49">
        <v>18.666699999999999</v>
      </c>
      <c r="AG49">
        <v>9</v>
      </c>
      <c r="AH49">
        <v>0</v>
      </c>
      <c r="AI49">
        <v>0</v>
      </c>
      <c r="AJ49">
        <v>13.5</v>
      </c>
      <c r="AK49">
        <v>6</v>
      </c>
      <c r="AL49">
        <v>11</v>
      </c>
      <c r="AM49">
        <v>12</v>
      </c>
      <c r="AN49">
        <v>36.5</v>
      </c>
      <c r="AO49">
        <v>35</v>
      </c>
      <c r="AP49" t="s">
        <v>177</v>
      </c>
      <c r="AQ49">
        <v>30</v>
      </c>
      <c r="AR49">
        <v>13</v>
      </c>
      <c r="AS49">
        <v>23</v>
      </c>
      <c r="AT49">
        <v>0</v>
      </c>
      <c r="AU49">
        <v>14</v>
      </c>
      <c r="AV49">
        <v>0</v>
      </c>
      <c r="AW49">
        <v>20</v>
      </c>
      <c r="AX49">
        <v>0</v>
      </c>
      <c r="AY49">
        <v>0</v>
      </c>
      <c r="AZ49">
        <v>8.6667000000000005</v>
      </c>
      <c r="BA49">
        <v>1.6667000000000001</v>
      </c>
      <c r="BB49" t="s">
        <v>177</v>
      </c>
      <c r="BC49">
        <v>0</v>
      </c>
      <c r="BD49">
        <v>14</v>
      </c>
      <c r="BE49">
        <v>0</v>
      </c>
      <c r="BF49">
        <v>13.5</v>
      </c>
    </row>
    <row r="50" spans="1:58" x14ac:dyDescent="0.25">
      <c r="A50">
        <v>20160317</v>
      </c>
      <c r="B50" s="7" t="s">
        <v>98</v>
      </c>
      <c r="C50" t="s">
        <v>107</v>
      </c>
      <c r="D50" t="s">
        <v>99</v>
      </c>
      <c r="E50" t="s">
        <v>151</v>
      </c>
      <c r="I50">
        <v>7</v>
      </c>
      <c r="J50">
        <v>65</v>
      </c>
      <c r="K50">
        <f t="shared" si="2"/>
        <v>14.654470731707317</v>
      </c>
      <c r="L50">
        <f t="shared" si="3"/>
        <v>2.1796779913506916</v>
      </c>
      <c r="N50">
        <v>47</v>
      </c>
      <c r="O50">
        <v>8</v>
      </c>
      <c r="P50">
        <v>0</v>
      </c>
      <c r="Q50">
        <v>12</v>
      </c>
      <c r="R50" t="s">
        <v>177</v>
      </c>
      <c r="S50">
        <v>0</v>
      </c>
      <c r="T50" t="s">
        <v>177</v>
      </c>
      <c r="U50">
        <v>14</v>
      </c>
      <c r="V50">
        <v>22</v>
      </c>
      <c r="W50">
        <v>8</v>
      </c>
      <c r="X50">
        <v>0</v>
      </c>
      <c r="Y50">
        <v>21</v>
      </c>
      <c r="Z50">
        <v>4</v>
      </c>
      <c r="AA50">
        <v>16</v>
      </c>
      <c r="AB50">
        <v>19</v>
      </c>
      <c r="AC50">
        <v>18.5</v>
      </c>
      <c r="AD50" t="s">
        <v>177</v>
      </c>
      <c r="AE50">
        <v>0</v>
      </c>
      <c r="AF50">
        <v>22</v>
      </c>
      <c r="AG50">
        <v>16.5</v>
      </c>
      <c r="AH50">
        <v>0</v>
      </c>
      <c r="AI50">
        <v>0</v>
      </c>
      <c r="AJ50">
        <v>16.5</v>
      </c>
      <c r="AK50">
        <v>7</v>
      </c>
      <c r="AL50" t="s">
        <v>178</v>
      </c>
      <c r="AM50">
        <v>19</v>
      </c>
      <c r="AN50">
        <v>42</v>
      </c>
      <c r="AO50">
        <v>39</v>
      </c>
      <c r="AP50">
        <v>52</v>
      </c>
      <c r="AQ50">
        <v>38</v>
      </c>
      <c r="AR50">
        <v>17</v>
      </c>
      <c r="AS50">
        <v>27</v>
      </c>
      <c r="AT50">
        <v>0</v>
      </c>
      <c r="AU50">
        <v>23</v>
      </c>
      <c r="AV50">
        <v>2</v>
      </c>
      <c r="AW50">
        <v>23</v>
      </c>
      <c r="AX50">
        <v>6</v>
      </c>
      <c r="AY50">
        <v>0</v>
      </c>
      <c r="AZ50">
        <v>16.5</v>
      </c>
      <c r="BA50">
        <v>1.3332999999999999</v>
      </c>
      <c r="BB50">
        <v>0</v>
      </c>
      <c r="BC50">
        <v>3.5</v>
      </c>
      <c r="BD50">
        <v>23</v>
      </c>
      <c r="BE50">
        <v>2.5</v>
      </c>
      <c r="BF50">
        <v>14.5</v>
      </c>
    </row>
    <row r="51" spans="1:58" x14ac:dyDescent="0.25">
      <c r="A51">
        <v>20160317</v>
      </c>
      <c r="B51" s="7" t="s">
        <v>98</v>
      </c>
      <c r="C51" t="s">
        <v>104</v>
      </c>
      <c r="D51" t="s">
        <v>99</v>
      </c>
      <c r="E51" t="s">
        <v>152</v>
      </c>
      <c r="I51">
        <v>8</v>
      </c>
      <c r="J51">
        <v>75</v>
      </c>
      <c r="K51">
        <f t="shared" si="2"/>
        <v>17.022524324324323</v>
      </c>
      <c r="L51">
        <f t="shared" si="3"/>
        <v>2.3724922600569456</v>
      </c>
      <c r="N51">
        <v>52</v>
      </c>
      <c r="O51" t="s">
        <v>177</v>
      </c>
      <c r="P51">
        <v>15</v>
      </c>
      <c r="Q51">
        <v>9</v>
      </c>
      <c r="R51" t="s">
        <v>177</v>
      </c>
      <c r="S51">
        <v>1</v>
      </c>
      <c r="T51" t="s">
        <v>177</v>
      </c>
      <c r="U51">
        <v>13</v>
      </c>
      <c r="V51" t="s">
        <v>177</v>
      </c>
      <c r="W51">
        <v>12</v>
      </c>
      <c r="X51">
        <v>0</v>
      </c>
      <c r="Y51">
        <v>24</v>
      </c>
      <c r="Z51">
        <v>14.5</v>
      </c>
      <c r="AA51">
        <v>17</v>
      </c>
      <c r="AB51">
        <v>21</v>
      </c>
      <c r="AC51">
        <v>23.5</v>
      </c>
      <c r="AD51" t="s">
        <v>177</v>
      </c>
      <c r="AE51">
        <v>0</v>
      </c>
      <c r="AF51">
        <v>27.666699999999999</v>
      </c>
      <c r="AG51" t="s">
        <v>178</v>
      </c>
      <c r="AH51">
        <v>0</v>
      </c>
      <c r="AI51">
        <v>0</v>
      </c>
      <c r="AJ51">
        <v>21.5</v>
      </c>
      <c r="AK51">
        <v>13</v>
      </c>
      <c r="AL51">
        <v>24</v>
      </c>
      <c r="AM51">
        <v>21</v>
      </c>
      <c r="AN51" t="s">
        <v>178</v>
      </c>
      <c r="AO51">
        <v>42.5</v>
      </c>
      <c r="AP51">
        <v>54</v>
      </c>
      <c r="AQ51">
        <v>38.5</v>
      </c>
      <c r="AR51">
        <v>20</v>
      </c>
      <c r="AS51">
        <v>33</v>
      </c>
      <c r="AT51">
        <v>0</v>
      </c>
      <c r="AU51">
        <v>22</v>
      </c>
      <c r="AV51">
        <v>0</v>
      </c>
      <c r="AW51">
        <v>26.5</v>
      </c>
      <c r="AX51" t="s">
        <v>178</v>
      </c>
      <c r="AY51">
        <v>1.5</v>
      </c>
      <c r="AZ51">
        <v>20.666699999999999</v>
      </c>
      <c r="BA51">
        <v>6</v>
      </c>
      <c r="BB51">
        <v>0</v>
      </c>
      <c r="BC51">
        <v>10</v>
      </c>
      <c r="BD51">
        <v>24.5</v>
      </c>
      <c r="BE51">
        <v>2.5</v>
      </c>
      <c r="BF51">
        <v>19</v>
      </c>
    </row>
    <row r="52" spans="1:58" x14ac:dyDescent="0.25">
      <c r="A52">
        <v>20160317</v>
      </c>
      <c r="B52" s="7" t="s">
        <v>98</v>
      </c>
      <c r="C52" t="s">
        <v>115</v>
      </c>
      <c r="D52" t="s">
        <v>99</v>
      </c>
      <c r="E52" t="s">
        <v>153</v>
      </c>
      <c r="I52">
        <v>9</v>
      </c>
      <c r="J52">
        <v>85</v>
      </c>
      <c r="K52">
        <f t="shared" si="2"/>
        <v>18.632479487179488</v>
      </c>
      <c r="L52">
        <f t="shared" si="3"/>
        <v>2.4173717209389629</v>
      </c>
      <c r="N52" t="s">
        <v>177</v>
      </c>
      <c r="O52">
        <v>20</v>
      </c>
      <c r="P52">
        <v>0</v>
      </c>
      <c r="Q52">
        <v>3</v>
      </c>
      <c r="R52" t="s">
        <v>177</v>
      </c>
      <c r="S52" t="s">
        <v>177</v>
      </c>
      <c r="T52" t="s">
        <v>177</v>
      </c>
      <c r="U52">
        <v>15</v>
      </c>
      <c r="V52" t="s">
        <v>177</v>
      </c>
      <c r="W52">
        <v>15.5</v>
      </c>
      <c r="X52">
        <v>0</v>
      </c>
      <c r="Y52">
        <v>27.5</v>
      </c>
      <c r="Z52">
        <v>7</v>
      </c>
      <c r="AA52">
        <v>20</v>
      </c>
      <c r="AB52" t="s">
        <v>177</v>
      </c>
      <c r="AC52">
        <v>20.5</v>
      </c>
      <c r="AD52">
        <v>12</v>
      </c>
      <c r="AE52">
        <v>0</v>
      </c>
      <c r="AF52">
        <v>26.5</v>
      </c>
      <c r="AG52">
        <v>25</v>
      </c>
      <c r="AH52">
        <v>0</v>
      </c>
      <c r="AI52">
        <v>0</v>
      </c>
      <c r="AJ52">
        <v>24.5</v>
      </c>
      <c r="AK52">
        <v>14</v>
      </c>
      <c r="AL52">
        <v>25</v>
      </c>
      <c r="AM52">
        <v>25</v>
      </c>
      <c r="AN52">
        <v>53</v>
      </c>
      <c r="AO52">
        <v>47</v>
      </c>
      <c r="AP52">
        <v>57</v>
      </c>
      <c r="AQ52">
        <v>43.5</v>
      </c>
      <c r="AR52">
        <v>21</v>
      </c>
      <c r="AS52">
        <v>37</v>
      </c>
      <c r="AT52">
        <v>0</v>
      </c>
      <c r="AU52">
        <v>28</v>
      </c>
      <c r="AV52">
        <v>7</v>
      </c>
      <c r="AW52">
        <v>32.5</v>
      </c>
      <c r="AX52">
        <v>2.5</v>
      </c>
      <c r="AY52">
        <v>6</v>
      </c>
      <c r="AZ52">
        <v>24.5</v>
      </c>
      <c r="BA52">
        <v>9.6667000000000005</v>
      </c>
      <c r="BB52">
        <v>5</v>
      </c>
      <c r="BC52">
        <v>15</v>
      </c>
      <c r="BD52">
        <v>29</v>
      </c>
      <c r="BE52">
        <v>7.5</v>
      </c>
      <c r="BF52">
        <v>21</v>
      </c>
    </row>
    <row r="53" spans="1:58" x14ac:dyDescent="0.25">
      <c r="A53">
        <v>20160223</v>
      </c>
      <c r="B53" s="7" t="s">
        <v>108</v>
      </c>
      <c r="C53" t="s">
        <v>101</v>
      </c>
      <c r="D53" t="s">
        <v>99</v>
      </c>
      <c r="E53" t="s">
        <v>154</v>
      </c>
      <c r="I53">
        <v>10</v>
      </c>
      <c r="J53">
        <v>95</v>
      </c>
      <c r="K53">
        <f t="shared" si="2"/>
        <v>21.995613157894738</v>
      </c>
      <c r="L53">
        <f t="shared" si="3"/>
        <v>2.4887489552569622</v>
      </c>
      <c r="N53" t="s">
        <v>177</v>
      </c>
      <c r="O53">
        <v>22</v>
      </c>
      <c r="P53">
        <v>8.5</v>
      </c>
      <c r="Q53">
        <v>15</v>
      </c>
      <c r="R53" t="s">
        <v>177</v>
      </c>
      <c r="S53" t="s">
        <v>177</v>
      </c>
      <c r="T53" t="s">
        <v>177</v>
      </c>
      <c r="U53">
        <v>20</v>
      </c>
      <c r="V53">
        <v>35</v>
      </c>
      <c r="W53">
        <v>19</v>
      </c>
      <c r="X53">
        <v>0</v>
      </c>
      <c r="Y53">
        <v>29</v>
      </c>
      <c r="Z53">
        <v>17</v>
      </c>
      <c r="AA53">
        <v>21</v>
      </c>
      <c r="AB53">
        <v>28</v>
      </c>
      <c r="AC53">
        <v>21.5</v>
      </c>
      <c r="AD53">
        <v>16</v>
      </c>
      <c r="AE53">
        <v>0</v>
      </c>
      <c r="AF53">
        <v>34.333300000000001</v>
      </c>
      <c r="AG53" t="s">
        <v>178</v>
      </c>
      <c r="AH53">
        <v>0</v>
      </c>
      <c r="AI53">
        <v>0</v>
      </c>
      <c r="AJ53">
        <v>32.5</v>
      </c>
      <c r="AK53">
        <v>16</v>
      </c>
      <c r="AL53">
        <v>16</v>
      </c>
      <c r="AM53">
        <v>29</v>
      </c>
      <c r="AN53">
        <v>61</v>
      </c>
      <c r="AO53">
        <v>48.5</v>
      </c>
      <c r="AP53">
        <v>63</v>
      </c>
      <c r="AQ53" t="s">
        <v>178</v>
      </c>
      <c r="AR53">
        <v>23</v>
      </c>
      <c r="AS53">
        <v>37</v>
      </c>
      <c r="AT53" t="s">
        <v>177</v>
      </c>
      <c r="AU53">
        <v>32</v>
      </c>
      <c r="AV53">
        <v>5</v>
      </c>
      <c r="AW53">
        <v>34.666699999999999</v>
      </c>
      <c r="AX53">
        <v>0</v>
      </c>
      <c r="AY53">
        <v>7.5</v>
      </c>
      <c r="AZ53">
        <v>28</v>
      </c>
      <c r="BA53">
        <v>14.333299999999999</v>
      </c>
      <c r="BB53">
        <v>12</v>
      </c>
      <c r="BC53">
        <v>16</v>
      </c>
      <c r="BD53">
        <v>34</v>
      </c>
      <c r="BE53">
        <v>14</v>
      </c>
      <c r="BF53">
        <v>26</v>
      </c>
    </row>
    <row r="54" spans="1:58" x14ac:dyDescent="0.25">
      <c r="A54">
        <v>20160223</v>
      </c>
      <c r="B54" s="7" t="s">
        <v>108</v>
      </c>
      <c r="C54" t="s">
        <v>102</v>
      </c>
      <c r="D54" t="s">
        <v>99</v>
      </c>
      <c r="E54" t="s">
        <v>155</v>
      </c>
      <c r="I54">
        <v>11</v>
      </c>
      <c r="J54">
        <v>105</v>
      </c>
      <c r="K54">
        <f t="shared" si="2"/>
        <v>25.267544736842105</v>
      </c>
      <c r="L54">
        <f t="shared" si="3"/>
        <v>2.6475617546212962</v>
      </c>
      <c r="N54">
        <v>56</v>
      </c>
      <c r="O54">
        <v>23</v>
      </c>
      <c r="P54">
        <v>18</v>
      </c>
      <c r="Q54">
        <v>12</v>
      </c>
      <c r="R54" t="s">
        <v>177</v>
      </c>
      <c r="S54" t="s">
        <v>177</v>
      </c>
      <c r="T54" t="s">
        <v>177</v>
      </c>
      <c r="U54">
        <v>21</v>
      </c>
      <c r="V54" t="s">
        <v>177</v>
      </c>
      <c r="W54">
        <v>24.5</v>
      </c>
      <c r="X54">
        <v>0</v>
      </c>
      <c r="Y54">
        <v>33</v>
      </c>
      <c r="Z54">
        <v>19.5</v>
      </c>
      <c r="AA54">
        <v>25</v>
      </c>
      <c r="AB54">
        <v>30</v>
      </c>
      <c r="AC54">
        <v>23</v>
      </c>
      <c r="AD54">
        <v>12</v>
      </c>
      <c r="AE54">
        <v>0</v>
      </c>
      <c r="AF54">
        <v>36</v>
      </c>
      <c r="AG54">
        <v>32</v>
      </c>
      <c r="AH54">
        <v>0</v>
      </c>
      <c r="AI54">
        <v>0</v>
      </c>
      <c r="AJ54">
        <v>31.5</v>
      </c>
      <c r="AK54">
        <v>15</v>
      </c>
      <c r="AL54">
        <v>22</v>
      </c>
      <c r="AM54" t="s">
        <v>178</v>
      </c>
      <c r="AN54">
        <v>62</v>
      </c>
      <c r="AO54">
        <v>53</v>
      </c>
      <c r="AP54">
        <v>66</v>
      </c>
      <c r="AQ54" t="s">
        <v>178</v>
      </c>
      <c r="AR54">
        <v>29</v>
      </c>
      <c r="AS54">
        <v>43</v>
      </c>
      <c r="AT54">
        <v>1</v>
      </c>
      <c r="AU54">
        <v>33</v>
      </c>
      <c r="AV54" t="s">
        <v>177</v>
      </c>
      <c r="AW54">
        <v>39.5</v>
      </c>
      <c r="AX54">
        <v>19.5</v>
      </c>
      <c r="AY54">
        <v>12</v>
      </c>
      <c r="AZ54">
        <v>28</v>
      </c>
      <c r="BA54">
        <v>19.666699999999999</v>
      </c>
      <c r="BB54">
        <v>16</v>
      </c>
      <c r="BC54">
        <v>26</v>
      </c>
      <c r="BD54">
        <v>35</v>
      </c>
      <c r="BE54">
        <v>15.5</v>
      </c>
      <c r="BF54">
        <v>28.5</v>
      </c>
    </row>
    <row r="55" spans="1:58" x14ac:dyDescent="0.25">
      <c r="A55">
        <v>20160411</v>
      </c>
      <c r="B55" s="7" t="s">
        <v>112</v>
      </c>
      <c r="C55" t="s">
        <v>97</v>
      </c>
      <c r="D55" t="s">
        <v>99</v>
      </c>
      <c r="E55" t="s">
        <v>156</v>
      </c>
      <c r="I55">
        <v>12</v>
      </c>
      <c r="J55">
        <v>115</v>
      </c>
      <c r="K55">
        <f t="shared" si="2"/>
        <v>26.054054054054053</v>
      </c>
      <c r="L55">
        <f t="shared" si="3"/>
        <v>2.5726358092938808</v>
      </c>
      <c r="N55">
        <v>66</v>
      </c>
      <c r="O55">
        <v>28</v>
      </c>
      <c r="P55">
        <v>20</v>
      </c>
      <c r="Q55">
        <v>24</v>
      </c>
      <c r="R55" t="s">
        <v>177</v>
      </c>
      <c r="S55" t="s">
        <v>177</v>
      </c>
      <c r="T55" t="s">
        <v>177</v>
      </c>
      <c r="U55">
        <v>29</v>
      </c>
      <c r="V55">
        <v>40</v>
      </c>
      <c r="W55">
        <v>25.5</v>
      </c>
      <c r="X55">
        <v>0</v>
      </c>
      <c r="Y55">
        <v>35.5</v>
      </c>
      <c r="Z55">
        <v>25</v>
      </c>
      <c r="AA55">
        <v>26</v>
      </c>
      <c r="AB55">
        <v>28</v>
      </c>
      <c r="AC55">
        <v>25</v>
      </c>
      <c r="AD55" t="s">
        <v>177</v>
      </c>
      <c r="AE55">
        <v>0</v>
      </c>
      <c r="AF55">
        <v>38.666699999999999</v>
      </c>
      <c r="AG55">
        <v>34</v>
      </c>
      <c r="AH55">
        <v>0</v>
      </c>
      <c r="AI55">
        <v>0</v>
      </c>
      <c r="AJ55">
        <v>33</v>
      </c>
      <c r="AK55">
        <v>19</v>
      </c>
      <c r="AL55">
        <v>14</v>
      </c>
      <c r="AM55">
        <v>35</v>
      </c>
      <c r="AN55" t="s">
        <v>178</v>
      </c>
      <c r="AO55">
        <v>55</v>
      </c>
      <c r="AP55" t="s">
        <v>177</v>
      </c>
      <c r="AQ55">
        <v>56</v>
      </c>
      <c r="AR55">
        <v>32</v>
      </c>
      <c r="AS55">
        <v>46.5</v>
      </c>
      <c r="AT55">
        <v>4</v>
      </c>
      <c r="AU55">
        <v>35</v>
      </c>
      <c r="AV55">
        <v>15</v>
      </c>
      <c r="AW55">
        <v>42.5</v>
      </c>
      <c r="AX55">
        <v>16</v>
      </c>
      <c r="AY55">
        <v>21</v>
      </c>
      <c r="AZ55">
        <v>27</v>
      </c>
      <c r="BA55">
        <v>19.333300000000001</v>
      </c>
      <c r="BB55">
        <v>14</v>
      </c>
      <c r="BC55" t="s">
        <v>178</v>
      </c>
      <c r="BD55" t="s">
        <v>178</v>
      </c>
      <c r="BE55">
        <v>16</v>
      </c>
      <c r="BF55">
        <v>19</v>
      </c>
    </row>
    <row r="56" spans="1:58" x14ac:dyDescent="0.25">
      <c r="A56">
        <v>20160411</v>
      </c>
      <c r="B56" s="7" t="s">
        <v>112</v>
      </c>
      <c r="C56" t="s">
        <v>107</v>
      </c>
      <c r="D56" t="s">
        <v>99</v>
      </c>
      <c r="E56" t="s">
        <v>157</v>
      </c>
      <c r="I56">
        <v>13</v>
      </c>
      <c r="J56">
        <v>125</v>
      </c>
      <c r="K56">
        <f t="shared" si="2"/>
        <v>29.785086842105262</v>
      </c>
      <c r="L56">
        <f t="shared" si="3"/>
        <v>2.7323430247908753</v>
      </c>
      <c r="N56">
        <v>68</v>
      </c>
      <c r="O56">
        <v>26</v>
      </c>
      <c r="P56">
        <v>22.5</v>
      </c>
      <c r="Q56">
        <v>28</v>
      </c>
      <c r="R56" t="s">
        <v>177</v>
      </c>
      <c r="S56" t="s">
        <v>177</v>
      </c>
      <c r="T56" t="s">
        <v>177</v>
      </c>
      <c r="U56">
        <v>25.5</v>
      </c>
      <c r="V56">
        <v>44</v>
      </c>
      <c r="W56">
        <v>27</v>
      </c>
      <c r="X56">
        <v>9.5</v>
      </c>
      <c r="Y56">
        <v>37.5</v>
      </c>
      <c r="Z56">
        <v>28</v>
      </c>
      <c r="AA56">
        <v>29</v>
      </c>
      <c r="AB56" t="s">
        <v>177</v>
      </c>
      <c r="AC56">
        <v>24.5</v>
      </c>
      <c r="AD56" t="s">
        <v>177</v>
      </c>
      <c r="AE56">
        <v>0</v>
      </c>
      <c r="AF56">
        <v>40.333300000000001</v>
      </c>
      <c r="AG56">
        <v>36</v>
      </c>
      <c r="AH56">
        <v>0</v>
      </c>
      <c r="AI56">
        <v>23</v>
      </c>
      <c r="AJ56">
        <v>36</v>
      </c>
      <c r="AK56">
        <v>16</v>
      </c>
      <c r="AL56">
        <v>19</v>
      </c>
      <c r="AM56">
        <v>38.5</v>
      </c>
      <c r="AN56">
        <v>73</v>
      </c>
      <c r="AO56">
        <v>59</v>
      </c>
      <c r="AP56" t="s">
        <v>177</v>
      </c>
      <c r="AQ56">
        <v>59</v>
      </c>
      <c r="AR56">
        <v>35</v>
      </c>
      <c r="AS56">
        <v>49.5</v>
      </c>
      <c r="AT56">
        <v>9</v>
      </c>
      <c r="AU56">
        <v>38</v>
      </c>
      <c r="AV56">
        <v>13</v>
      </c>
      <c r="AW56">
        <v>43</v>
      </c>
      <c r="AX56">
        <v>23</v>
      </c>
      <c r="AY56">
        <v>21</v>
      </c>
      <c r="AZ56">
        <v>23</v>
      </c>
      <c r="BA56">
        <v>20</v>
      </c>
      <c r="BB56">
        <v>15</v>
      </c>
      <c r="BC56" t="s">
        <v>178</v>
      </c>
      <c r="BD56">
        <v>39</v>
      </c>
      <c r="BE56">
        <v>16</v>
      </c>
      <c r="BF56">
        <v>18</v>
      </c>
    </row>
    <row r="57" spans="1:58" x14ac:dyDescent="0.25">
      <c r="A57">
        <v>20160309</v>
      </c>
      <c r="B57" s="7" t="s">
        <v>109</v>
      </c>
      <c r="C57" t="s">
        <v>102</v>
      </c>
      <c r="D57" t="s">
        <v>99</v>
      </c>
      <c r="E57" t="s">
        <v>158</v>
      </c>
      <c r="I57">
        <v>14</v>
      </c>
      <c r="J57">
        <v>135</v>
      </c>
      <c r="K57">
        <f t="shared" si="2"/>
        <v>30.279570967741936</v>
      </c>
      <c r="L57">
        <f t="shared" si="3"/>
        <v>2.986742918186549</v>
      </c>
      <c r="N57" t="s">
        <v>177</v>
      </c>
      <c r="O57">
        <v>27</v>
      </c>
      <c r="P57">
        <v>24</v>
      </c>
      <c r="Q57">
        <v>28</v>
      </c>
      <c r="R57" t="s">
        <v>177</v>
      </c>
      <c r="S57" t="s">
        <v>177</v>
      </c>
      <c r="T57">
        <v>46</v>
      </c>
      <c r="U57">
        <v>29</v>
      </c>
      <c r="V57" t="s">
        <v>177</v>
      </c>
      <c r="W57">
        <v>29.5</v>
      </c>
      <c r="X57">
        <v>11</v>
      </c>
      <c r="Y57">
        <v>40</v>
      </c>
      <c r="Z57">
        <v>31</v>
      </c>
      <c r="AA57" t="s">
        <v>177</v>
      </c>
      <c r="AB57" t="s">
        <v>177</v>
      </c>
      <c r="AC57">
        <v>21</v>
      </c>
      <c r="AD57" t="s">
        <v>177</v>
      </c>
      <c r="AE57">
        <v>0</v>
      </c>
      <c r="AF57">
        <v>41.666699999999999</v>
      </c>
      <c r="AG57">
        <v>39</v>
      </c>
      <c r="AH57">
        <v>5</v>
      </c>
      <c r="AI57">
        <v>10</v>
      </c>
      <c r="AJ57">
        <v>38.5</v>
      </c>
      <c r="AK57">
        <v>19</v>
      </c>
      <c r="AL57">
        <v>16</v>
      </c>
      <c r="AM57">
        <v>43.5</v>
      </c>
      <c r="AN57">
        <v>75.5</v>
      </c>
      <c r="AO57">
        <v>63</v>
      </c>
      <c r="AP57" t="s">
        <v>177</v>
      </c>
      <c r="AQ57" t="s">
        <v>178</v>
      </c>
      <c r="AR57">
        <v>35</v>
      </c>
      <c r="AS57">
        <v>56</v>
      </c>
      <c r="AT57" t="s">
        <v>177</v>
      </c>
      <c r="AU57">
        <v>41</v>
      </c>
      <c r="AV57">
        <v>25</v>
      </c>
      <c r="AW57">
        <v>40.5</v>
      </c>
      <c r="AX57">
        <v>12.5</v>
      </c>
      <c r="AY57">
        <v>30</v>
      </c>
      <c r="AZ57" t="s">
        <v>178</v>
      </c>
      <c r="BA57">
        <v>24</v>
      </c>
      <c r="BB57" t="s">
        <v>177</v>
      </c>
      <c r="BC57" t="s">
        <v>178</v>
      </c>
      <c r="BD57" t="s">
        <v>178</v>
      </c>
      <c r="BE57">
        <v>16</v>
      </c>
      <c r="BF57">
        <v>21</v>
      </c>
    </row>
    <row r="58" spans="1:58" x14ac:dyDescent="0.25">
      <c r="A58">
        <v>20160309</v>
      </c>
      <c r="B58" s="7" t="s">
        <v>109</v>
      </c>
      <c r="C58" t="s">
        <v>111</v>
      </c>
      <c r="D58" t="s">
        <v>99</v>
      </c>
      <c r="E58" t="s">
        <v>159</v>
      </c>
      <c r="I58">
        <v>15</v>
      </c>
      <c r="J58">
        <v>145</v>
      </c>
      <c r="K58">
        <f t="shared" si="2"/>
        <v>33.040403030303032</v>
      </c>
      <c r="L58">
        <f t="shared" si="3"/>
        <v>2.9905770288463951</v>
      </c>
      <c r="N58">
        <v>70</v>
      </c>
      <c r="O58">
        <v>26</v>
      </c>
      <c r="P58">
        <v>28.5</v>
      </c>
      <c r="Q58" t="s">
        <v>178</v>
      </c>
      <c r="R58" t="s">
        <v>177</v>
      </c>
      <c r="S58">
        <v>14</v>
      </c>
      <c r="T58">
        <v>42</v>
      </c>
      <c r="U58">
        <v>34</v>
      </c>
      <c r="V58" t="s">
        <v>177</v>
      </c>
      <c r="W58">
        <v>34.5</v>
      </c>
      <c r="X58">
        <v>12.5</v>
      </c>
      <c r="Y58">
        <v>42.5</v>
      </c>
      <c r="Z58">
        <v>31.5</v>
      </c>
      <c r="AA58">
        <v>31</v>
      </c>
      <c r="AB58" t="s">
        <v>177</v>
      </c>
      <c r="AC58">
        <v>18</v>
      </c>
      <c r="AD58" t="s">
        <v>177</v>
      </c>
      <c r="AE58">
        <v>0</v>
      </c>
      <c r="AF58">
        <v>44.333300000000001</v>
      </c>
      <c r="AG58">
        <v>41</v>
      </c>
      <c r="AH58">
        <v>6</v>
      </c>
      <c r="AI58">
        <v>39</v>
      </c>
      <c r="AJ58">
        <v>32</v>
      </c>
      <c r="AK58">
        <v>19</v>
      </c>
      <c r="AL58">
        <v>21</v>
      </c>
      <c r="AM58">
        <v>46</v>
      </c>
      <c r="AN58">
        <v>78.5</v>
      </c>
      <c r="AO58">
        <v>67.5</v>
      </c>
      <c r="AP58" t="s">
        <v>177</v>
      </c>
      <c r="AQ58" t="s">
        <v>178</v>
      </c>
      <c r="AR58" t="s">
        <v>177</v>
      </c>
      <c r="AS58" t="s">
        <v>178</v>
      </c>
      <c r="AT58">
        <v>36</v>
      </c>
      <c r="AU58" t="s">
        <v>177</v>
      </c>
      <c r="AV58">
        <v>23</v>
      </c>
      <c r="AW58">
        <v>47</v>
      </c>
      <c r="AX58">
        <v>31</v>
      </c>
      <c r="AY58">
        <v>32</v>
      </c>
      <c r="AZ58" t="s">
        <v>178</v>
      </c>
      <c r="BA58">
        <v>19</v>
      </c>
      <c r="BB58">
        <v>27</v>
      </c>
      <c r="BC58" t="s">
        <v>178</v>
      </c>
      <c r="BD58">
        <v>46</v>
      </c>
      <c r="BE58">
        <v>16</v>
      </c>
      <c r="BF58">
        <v>34.5</v>
      </c>
    </row>
    <row r="59" spans="1:58" x14ac:dyDescent="0.25">
      <c r="A59">
        <v>20160303</v>
      </c>
      <c r="B59" s="7" t="s">
        <v>108</v>
      </c>
      <c r="C59" t="s">
        <v>101</v>
      </c>
      <c r="D59" t="s">
        <v>99</v>
      </c>
      <c r="E59">
        <v>16303014</v>
      </c>
      <c r="I59">
        <v>16</v>
      </c>
      <c r="J59">
        <v>155</v>
      </c>
      <c r="K59">
        <f t="shared" si="2"/>
        <v>38.145161290322584</v>
      </c>
      <c r="L59">
        <f t="shared" si="3"/>
        <v>3.2344909978637872</v>
      </c>
      <c r="N59">
        <v>48</v>
      </c>
      <c r="O59">
        <v>30</v>
      </c>
      <c r="P59">
        <v>27</v>
      </c>
      <c r="Q59" t="s">
        <v>178</v>
      </c>
      <c r="R59" t="s">
        <v>177</v>
      </c>
      <c r="S59" t="s">
        <v>177</v>
      </c>
      <c r="T59">
        <v>49</v>
      </c>
      <c r="U59">
        <v>39</v>
      </c>
      <c r="V59" t="s">
        <v>177</v>
      </c>
      <c r="W59">
        <v>36</v>
      </c>
      <c r="X59">
        <v>17.5</v>
      </c>
      <c r="Y59">
        <v>45</v>
      </c>
      <c r="Z59">
        <v>35</v>
      </c>
      <c r="AA59">
        <v>35</v>
      </c>
      <c r="AB59">
        <v>42</v>
      </c>
      <c r="AC59" t="s">
        <v>178</v>
      </c>
      <c r="AD59" t="s">
        <v>177</v>
      </c>
      <c r="AE59">
        <v>0</v>
      </c>
      <c r="AF59">
        <v>39.5</v>
      </c>
      <c r="AG59">
        <v>43.5</v>
      </c>
      <c r="AH59">
        <v>9</v>
      </c>
      <c r="AI59" t="s">
        <v>177</v>
      </c>
      <c r="AJ59" t="s">
        <v>178</v>
      </c>
      <c r="AK59" t="s">
        <v>177</v>
      </c>
      <c r="AL59">
        <v>23</v>
      </c>
      <c r="AM59">
        <v>57</v>
      </c>
      <c r="AN59">
        <v>82</v>
      </c>
      <c r="AO59">
        <v>70.5</v>
      </c>
      <c r="AP59" t="s">
        <v>177</v>
      </c>
      <c r="AQ59">
        <v>70</v>
      </c>
      <c r="AR59" t="s">
        <v>177</v>
      </c>
      <c r="AS59">
        <v>59</v>
      </c>
      <c r="AT59">
        <v>44</v>
      </c>
      <c r="AU59">
        <v>49</v>
      </c>
      <c r="AV59">
        <v>26</v>
      </c>
      <c r="AW59">
        <v>31</v>
      </c>
      <c r="AX59">
        <v>38</v>
      </c>
      <c r="AY59">
        <v>34</v>
      </c>
      <c r="AZ59">
        <v>15</v>
      </c>
      <c r="BA59">
        <v>26</v>
      </c>
      <c r="BB59" t="s">
        <v>177</v>
      </c>
      <c r="BC59">
        <v>44</v>
      </c>
      <c r="BD59" t="s">
        <v>178</v>
      </c>
      <c r="BE59">
        <v>18.5</v>
      </c>
      <c r="BF59" t="s">
        <v>178</v>
      </c>
    </row>
    <row r="60" spans="1:58" x14ac:dyDescent="0.25">
      <c r="A60">
        <v>20160303</v>
      </c>
      <c r="B60" s="7" t="s">
        <v>108</v>
      </c>
      <c r="C60" t="s">
        <v>103</v>
      </c>
      <c r="D60" t="s">
        <v>99</v>
      </c>
      <c r="E60" t="s">
        <v>160</v>
      </c>
      <c r="I60">
        <v>17</v>
      </c>
      <c r="J60">
        <v>165</v>
      </c>
      <c r="K60">
        <f t="shared" si="2"/>
        <v>36.946428571428569</v>
      </c>
      <c r="L60">
        <f t="shared" si="3"/>
        <v>3.5718567864977722</v>
      </c>
      <c r="N60" t="s">
        <v>177</v>
      </c>
      <c r="O60">
        <v>32</v>
      </c>
      <c r="P60">
        <v>33.5</v>
      </c>
      <c r="Q60" t="s">
        <v>178</v>
      </c>
      <c r="R60" t="s">
        <v>177</v>
      </c>
      <c r="S60" t="s">
        <v>177</v>
      </c>
      <c r="T60">
        <v>38</v>
      </c>
      <c r="U60">
        <v>35</v>
      </c>
      <c r="V60" t="s">
        <v>177</v>
      </c>
      <c r="W60">
        <v>34</v>
      </c>
      <c r="X60">
        <v>20.5</v>
      </c>
      <c r="Y60">
        <v>48.5</v>
      </c>
      <c r="Z60">
        <v>35.5</v>
      </c>
      <c r="AA60">
        <v>36</v>
      </c>
      <c r="AB60" t="s">
        <v>177</v>
      </c>
      <c r="AC60">
        <v>18</v>
      </c>
      <c r="AD60" t="s">
        <v>177</v>
      </c>
      <c r="AE60">
        <v>0</v>
      </c>
      <c r="AF60">
        <v>45</v>
      </c>
      <c r="AG60">
        <v>46.5</v>
      </c>
      <c r="AH60">
        <v>9</v>
      </c>
      <c r="AI60" t="s">
        <v>177</v>
      </c>
      <c r="AJ60" t="s">
        <v>178</v>
      </c>
      <c r="AK60">
        <v>22</v>
      </c>
      <c r="AL60" t="s">
        <v>178</v>
      </c>
      <c r="AM60">
        <v>60</v>
      </c>
      <c r="AN60">
        <v>85.5</v>
      </c>
      <c r="AO60">
        <v>74.5</v>
      </c>
      <c r="AP60" t="s">
        <v>177</v>
      </c>
      <c r="AQ60" t="s">
        <v>178</v>
      </c>
      <c r="AR60">
        <v>39</v>
      </c>
      <c r="AS60">
        <v>58</v>
      </c>
      <c r="AT60" t="s">
        <v>177</v>
      </c>
      <c r="AU60">
        <v>50</v>
      </c>
      <c r="AV60">
        <v>18</v>
      </c>
      <c r="AW60">
        <v>47.5</v>
      </c>
      <c r="AX60">
        <v>26.5</v>
      </c>
      <c r="AY60">
        <v>37</v>
      </c>
      <c r="AZ60" t="s">
        <v>178</v>
      </c>
      <c r="BA60">
        <v>20</v>
      </c>
      <c r="BB60" t="s">
        <v>177</v>
      </c>
      <c r="BC60">
        <v>48</v>
      </c>
      <c r="BD60" t="s">
        <v>178</v>
      </c>
      <c r="BE60">
        <v>17</v>
      </c>
      <c r="BF60" t="s">
        <v>178</v>
      </c>
    </row>
    <row r="61" spans="1:58" x14ac:dyDescent="0.25">
      <c r="A61">
        <v>20160303</v>
      </c>
      <c r="B61" s="7" t="s">
        <v>108</v>
      </c>
      <c r="C61" t="s">
        <v>104</v>
      </c>
      <c r="D61" t="s">
        <v>99</v>
      </c>
      <c r="E61" t="s">
        <v>161</v>
      </c>
      <c r="I61">
        <v>18</v>
      </c>
      <c r="J61">
        <v>175</v>
      </c>
      <c r="K61">
        <f t="shared" si="2"/>
        <v>38.826387500000003</v>
      </c>
      <c r="L61">
        <f t="shared" si="3"/>
        <v>4.144317721877318</v>
      </c>
      <c r="N61" t="s">
        <v>177</v>
      </c>
      <c r="O61">
        <v>36</v>
      </c>
      <c r="P61">
        <v>29</v>
      </c>
      <c r="Q61" t="s">
        <v>178</v>
      </c>
      <c r="R61" t="s">
        <v>177</v>
      </c>
      <c r="S61" t="s">
        <v>177</v>
      </c>
      <c r="T61">
        <v>38</v>
      </c>
      <c r="U61">
        <v>36</v>
      </c>
      <c r="V61" t="s">
        <v>177</v>
      </c>
      <c r="W61">
        <v>40.5</v>
      </c>
      <c r="X61">
        <v>22</v>
      </c>
      <c r="Y61">
        <v>53</v>
      </c>
      <c r="Z61">
        <v>43</v>
      </c>
      <c r="AA61" t="s">
        <v>177</v>
      </c>
      <c r="AB61" t="s">
        <v>177</v>
      </c>
      <c r="AC61" t="s">
        <v>178</v>
      </c>
      <c r="AD61" t="s">
        <v>177</v>
      </c>
      <c r="AE61">
        <v>0</v>
      </c>
      <c r="AF61">
        <v>46.333300000000001</v>
      </c>
      <c r="AG61">
        <v>48</v>
      </c>
      <c r="AH61">
        <v>9</v>
      </c>
      <c r="AI61">
        <v>25</v>
      </c>
      <c r="AJ61" t="s">
        <v>178</v>
      </c>
      <c r="AK61" t="s">
        <v>177</v>
      </c>
      <c r="AL61">
        <v>29</v>
      </c>
      <c r="AM61" t="s">
        <v>178</v>
      </c>
      <c r="AN61">
        <v>87.5</v>
      </c>
      <c r="AO61">
        <v>76.5</v>
      </c>
      <c r="AP61" t="s">
        <v>177</v>
      </c>
      <c r="AQ61" t="s">
        <v>178</v>
      </c>
      <c r="AR61" t="s">
        <v>177</v>
      </c>
      <c r="AS61">
        <v>73</v>
      </c>
      <c r="AT61" t="s">
        <v>177</v>
      </c>
      <c r="AU61">
        <v>51</v>
      </c>
      <c r="AV61" t="s">
        <v>177</v>
      </c>
      <c r="AW61">
        <v>32</v>
      </c>
      <c r="AX61">
        <v>32</v>
      </c>
      <c r="AY61">
        <v>40</v>
      </c>
      <c r="AZ61" t="s">
        <v>178</v>
      </c>
      <c r="BA61" t="s">
        <v>178</v>
      </c>
      <c r="BB61">
        <v>24</v>
      </c>
      <c r="BC61">
        <v>46</v>
      </c>
      <c r="BD61" t="s">
        <v>178</v>
      </c>
      <c r="BE61">
        <v>15</v>
      </c>
      <c r="BF61" t="s">
        <v>178</v>
      </c>
    </row>
    <row r="62" spans="1:58" x14ac:dyDescent="0.25">
      <c r="A62">
        <v>20160307</v>
      </c>
      <c r="B62" s="7" t="s">
        <v>117</v>
      </c>
      <c r="C62" t="s">
        <v>101</v>
      </c>
      <c r="D62" t="s">
        <v>99</v>
      </c>
      <c r="E62" t="s">
        <v>162</v>
      </c>
      <c r="I62">
        <v>19</v>
      </c>
      <c r="J62">
        <v>185</v>
      </c>
      <c r="K62">
        <f t="shared" si="2"/>
        <v>40.453332000000003</v>
      </c>
      <c r="L62">
        <f t="shared" si="3"/>
        <v>4.0873054166395075</v>
      </c>
      <c r="N62" t="s">
        <v>177</v>
      </c>
      <c r="O62">
        <v>37</v>
      </c>
      <c r="P62">
        <v>34.5</v>
      </c>
      <c r="Q62" t="s">
        <v>178</v>
      </c>
      <c r="R62" t="s">
        <v>177</v>
      </c>
      <c r="S62" t="s">
        <v>177</v>
      </c>
      <c r="T62" t="s">
        <v>177</v>
      </c>
      <c r="U62">
        <v>43</v>
      </c>
      <c r="V62" t="s">
        <v>177</v>
      </c>
      <c r="W62">
        <v>42</v>
      </c>
      <c r="X62">
        <v>22.5</v>
      </c>
      <c r="Y62">
        <v>50</v>
      </c>
      <c r="Z62">
        <v>46</v>
      </c>
      <c r="AA62" t="s">
        <v>177</v>
      </c>
      <c r="AB62" t="s">
        <v>177</v>
      </c>
      <c r="AC62" t="s">
        <v>178</v>
      </c>
      <c r="AD62">
        <v>36</v>
      </c>
      <c r="AE62">
        <v>5</v>
      </c>
      <c r="AF62">
        <v>50.333300000000001</v>
      </c>
      <c r="AG62">
        <v>49.5</v>
      </c>
      <c r="AH62">
        <v>10</v>
      </c>
      <c r="AI62" t="s">
        <v>177</v>
      </c>
      <c r="AJ62" t="s">
        <v>178</v>
      </c>
      <c r="AK62" t="s">
        <v>177</v>
      </c>
      <c r="AL62">
        <v>30</v>
      </c>
      <c r="AM62" t="s">
        <v>178</v>
      </c>
      <c r="AN62">
        <v>89</v>
      </c>
      <c r="AO62">
        <v>82</v>
      </c>
      <c r="AP62">
        <v>11</v>
      </c>
      <c r="AQ62" t="s">
        <v>178</v>
      </c>
      <c r="AR62">
        <v>46</v>
      </c>
      <c r="AS62">
        <v>73</v>
      </c>
      <c r="AT62" t="s">
        <v>177</v>
      </c>
      <c r="AU62" t="s">
        <v>177</v>
      </c>
      <c r="AV62">
        <v>28</v>
      </c>
      <c r="AW62">
        <v>49.5</v>
      </c>
      <c r="AX62">
        <v>36</v>
      </c>
      <c r="AY62">
        <v>41</v>
      </c>
      <c r="AZ62" t="s">
        <v>178</v>
      </c>
      <c r="BA62" t="s">
        <v>178</v>
      </c>
      <c r="BB62">
        <v>32</v>
      </c>
      <c r="BC62">
        <v>51</v>
      </c>
      <c r="BD62" t="s">
        <v>178</v>
      </c>
      <c r="BE62">
        <v>17</v>
      </c>
      <c r="BF62" t="s">
        <v>178</v>
      </c>
    </row>
    <row r="63" spans="1:58" x14ac:dyDescent="0.25">
      <c r="A63">
        <v>20160307</v>
      </c>
      <c r="B63" s="7" t="s">
        <v>117</v>
      </c>
      <c r="C63" t="s">
        <v>103</v>
      </c>
      <c r="D63" t="s">
        <v>99</v>
      </c>
      <c r="E63" t="s">
        <v>163</v>
      </c>
      <c r="I63">
        <v>20</v>
      </c>
      <c r="J63">
        <v>195</v>
      </c>
      <c r="K63">
        <f t="shared" si="2"/>
        <v>42.48412857142857</v>
      </c>
      <c r="L63">
        <f t="shared" si="3"/>
        <v>4.7232806644935081</v>
      </c>
      <c r="N63" t="s">
        <v>177</v>
      </c>
      <c r="O63">
        <v>39</v>
      </c>
      <c r="P63">
        <v>40</v>
      </c>
      <c r="Q63" t="s">
        <v>178</v>
      </c>
      <c r="R63" t="s">
        <v>177</v>
      </c>
      <c r="S63" t="s">
        <v>177</v>
      </c>
      <c r="T63">
        <v>30</v>
      </c>
      <c r="U63">
        <v>51</v>
      </c>
      <c r="V63" t="s">
        <v>177</v>
      </c>
      <c r="W63" t="s">
        <v>178</v>
      </c>
      <c r="X63">
        <v>25</v>
      </c>
      <c r="Y63" t="s">
        <v>178</v>
      </c>
      <c r="Z63">
        <v>48</v>
      </c>
      <c r="AA63" t="s">
        <v>177</v>
      </c>
      <c r="AB63" t="s">
        <v>177</v>
      </c>
      <c r="AC63">
        <v>22</v>
      </c>
      <c r="AD63">
        <v>34</v>
      </c>
      <c r="AE63">
        <v>1</v>
      </c>
      <c r="AF63">
        <v>50.666699999999999</v>
      </c>
      <c r="AG63">
        <v>51</v>
      </c>
      <c r="AH63">
        <v>10</v>
      </c>
      <c r="AI63" t="s">
        <v>177</v>
      </c>
      <c r="AJ63" t="s">
        <v>178</v>
      </c>
      <c r="AK63" t="s">
        <v>177</v>
      </c>
      <c r="AL63" t="s">
        <v>178</v>
      </c>
      <c r="AM63" t="s">
        <v>178</v>
      </c>
      <c r="AN63">
        <v>90</v>
      </c>
      <c r="AO63">
        <v>81.5</v>
      </c>
      <c r="AP63" t="s">
        <v>177</v>
      </c>
      <c r="AQ63" t="s">
        <v>178</v>
      </c>
      <c r="AR63" t="s">
        <v>177</v>
      </c>
      <c r="AS63" t="s">
        <v>178</v>
      </c>
      <c r="AT63" t="s">
        <v>177</v>
      </c>
      <c r="AU63" t="s">
        <v>177</v>
      </c>
      <c r="AV63">
        <v>22</v>
      </c>
      <c r="AW63">
        <v>66</v>
      </c>
      <c r="AX63">
        <v>41.5</v>
      </c>
      <c r="AY63">
        <v>41.5</v>
      </c>
      <c r="AZ63" t="s">
        <v>178</v>
      </c>
      <c r="BA63" t="s">
        <v>178</v>
      </c>
      <c r="BB63">
        <v>33</v>
      </c>
      <c r="BC63">
        <v>51</v>
      </c>
      <c r="BD63" t="s">
        <v>178</v>
      </c>
      <c r="BE63" t="s">
        <v>178</v>
      </c>
      <c r="BF63">
        <v>64</v>
      </c>
    </row>
    <row r="64" spans="1:58" x14ac:dyDescent="0.25">
      <c r="A64">
        <v>20160315</v>
      </c>
      <c r="B64" s="7" t="s">
        <v>105</v>
      </c>
      <c r="C64" t="s">
        <v>102</v>
      </c>
      <c r="D64" t="s">
        <v>99</v>
      </c>
      <c r="E64" t="s">
        <v>164</v>
      </c>
      <c r="I64">
        <v>21</v>
      </c>
      <c r="J64">
        <v>205</v>
      </c>
      <c r="K64">
        <f t="shared" si="2"/>
        <v>41.219299999999997</v>
      </c>
      <c r="L64">
        <f t="shared" si="3"/>
        <v>4.2807588452480685</v>
      </c>
      <c r="N64">
        <v>44</v>
      </c>
      <c r="O64">
        <v>39</v>
      </c>
      <c r="P64">
        <v>40</v>
      </c>
      <c r="Q64" t="s">
        <v>178</v>
      </c>
      <c r="R64" t="s">
        <v>177</v>
      </c>
      <c r="S64" t="s">
        <v>177</v>
      </c>
      <c r="T64" t="s">
        <v>177</v>
      </c>
      <c r="U64">
        <v>49</v>
      </c>
      <c r="V64" t="s">
        <v>177</v>
      </c>
      <c r="W64" t="s">
        <v>178</v>
      </c>
      <c r="X64">
        <v>25</v>
      </c>
      <c r="Y64" t="s">
        <v>178</v>
      </c>
      <c r="Z64">
        <v>50</v>
      </c>
      <c r="AA64" t="s">
        <v>177</v>
      </c>
      <c r="AB64" t="s">
        <v>177</v>
      </c>
      <c r="AC64">
        <v>21</v>
      </c>
      <c r="AD64" t="s">
        <v>177</v>
      </c>
      <c r="AE64">
        <v>6</v>
      </c>
      <c r="AF64">
        <v>48.666699999999999</v>
      </c>
      <c r="AG64">
        <v>52.5</v>
      </c>
      <c r="AH64">
        <v>12</v>
      </c>
      <c r="AI64" t="s">
        <v>177</v>
      </c>
      <c r="AJ64" t="s">
        <v>178</v>
      </c>
      <c r="AK64" t="s">
        <v>177</v>
      </c>
      <c r="AL64" t="s">
        <v>178</v>
      </c>
      <c r="AM64" t="s">
        <v>178</v>
      </c>
      <c r="AN64">
        <v>42</v>
      </c>
      <c r="AO64">
        <v>83</v>
      </c>
      <c r="AP64" t="s">
        <v>177</v>
      </c>
      <c r="AQ64" t="s">
        <v>178</v>
      </c>
      <c r="AR64" t="s">
        <v>177</v>
      </c>
      <c r="AS64" t="s">
        <v>178</v>
      </c>
      <c r="AT64" t="s">
        <v>177</v>
      </c>
      <c r="AU64" t="s">
        <v>177</v>
      </c>
      <c r="AV64">
        <v>23</v>
      </c>
      <c r="AW64">
        <v>71</v>
      </c>
      <c r="AX64">
        <v>44</v>
      </c>
      <c r="AY64">
        <v>43</v>
      </c>
      <c r="AZ64" t="s">
        <v>178</v>
      </c>
      <c r="BA64" t="s">
        <v>178</v>
      </c>
      <c r="BB64">
        <v>36</v>
      </c>
      <c r="BC64">
        <v>54</v>
      </c>
      <c r="BD64" t="s">
        <v>178</v>
      </c>
      <c r="BE64" t="s">
        <v>178</v>
      </c>
      <c r="BF64" t="s">
        <v>178</v>
      </c>
    </row>
    <row r="65" spans="1:58" x14ac:dyDescent="0.25">
      <c r="A65">
        <v>20160315</v>
      </c>
      <c r="B65" s="7" t="s">
        <v>105</v>
      </c>
      <c r="C65" t="s">
        <v>107</v>
      </c>
      <c r="D65" t="s">
        <v>99</v>
      </c>
      <c r="E65" t="s">
        <v>165</v>
      </c>
      <c r="I65">
        <v>22</v>
      </c>
      <c r="J65">
        <v>215</v>
      </c>
      <c r="K65">
        <f t="shared" si="2"/>
        <v>40.5</v>
      </c>
      <c r="L65">
        <f t="shared" si="3"/>
        <v>5.5277707984322211</v>
      </c>
      <c r="N65">
        <v>7</v>
      </c>
      <c r="O65" t="s">
        <v>177</v>
      </c>
      <c r="P65" t="s">
        <v>178</v>
      </c>
      <c r="Q65" t="s">
        <v>178</v>
      </c>
      <c r="R65" t="s">
        <v>177</v>
      </c>
      <c r="S65" t="s">
        <v>177</v>
      </c>
      <c r="T65" t="s">
        <v>177</v>
      </c>
      <c r="U65">
        <v>56</v>
      </c>
      <c r="V65" t="s">
        <v>177</v>
      </c>
      <c r="W65" t="s">
        <v>178</v>
      </c>
      <c r="X65">
        <v>28.5</v>
      </c>
      <c r="Y65" t="s">
        <v>178</v>
      </c>
      <c r="Z65">
        <v>52</v>
      </c>
      <c r="AA65">
        <v>49</v>
      </c>
      <c r="AB65" t="s">
        <v>177</v>
      </c>
      <c r="AC65">
        <v>24</v>
      </c>
      <c r="AD65" t="s">
        <v>177</v>
      </c>
      <c r="AE65">
        <v>6</v>
      </c>
      <c r="AF65">
        <v>59</v>
      </c>
      <c r="AG65">
        <v>55</v>
      </c>
      <c r="AH65" t="s">
        <v>177</v>
      </c>
      <c r="AI65" t="s">
        <v>177</v>
      </c>
      <c r="AJ65" t="s">
        <v>178</v>
      </c>
      <c r="AK65" t="s">
        <v>177</v>
      </c>
      <c r="AL65" t="s">
        <v>178</v>
      </c>
      <c r="AM65" t="s">
        <v>178</v>
      </c>
      <c r="AN65">
        <v>26</v>
      </c>
      <c r="AO65" t="s">
        <v>178</v>
      </c>
      <c r="AP65" t="s">
        <v>177</v>
      </c>
      <c r="AQ65" t="s">
        <v>178</v>
      </c>
      <c r="AR65" t="s">
        <v>177</v>
      </c>
      <c r="AS65">
        <v>82</v>
      </c>
      <c r="AT65" t="s">
        <v>177</v>
      </c>
      <c r="AU65" t="s">
        <v>177</v>
      </c>
      <c r="AV65">
        <v>27</v>
      </c>
      <c r="AW65">
        <v>72</v>
      </c>
      <c r="AX65">
        <v>39</v>
      </c>
      <c r="AY65">
        <v>46.5</v>
      </c>
      <c r="AZ65" t="s">
        <v>178</v>
      </c>
      <c r="BA65" t="s">
        <v>178</v>
      </c>
      <c r="BB65" t="s">
        <v>177</v>
      </c>
      <c r="BC65" t="s">
        <v>178</v>
      </c>
      <c r="BD65" t="s">
        <v>178</v>
      </c>
      <c r="BE65">
        <v>19</v>
      </c>
      <c r="BF65" t="s">
        <v>178</v>
      </c>
    </row>
    <row r="66" spans="1:58" x14ac:dyDescent="0.25">
      <c r="A66">
        <v>20160315</v>
      </c>
      <c r="B66" s="7" t="s">
        <v>105</v>
      </c>
      <c r="C66" t="s">
        <v>104</v>
      </c>
      <c r="D66" t="s">
        <v>99</v>
      </c>
      <c r="E66" t="s">
        <v>166</v>
      </c>
      <c r="I66">
        <v>23</v>
      </c>
      <c r="J66">
        <v>225</v>
      </c>
      <c r="K66">
        <f t="shared" si="2"/>
        <v>40.980394117647059</v>
      </c>
      <c r="L66">
        <f t="shared" si="3"/>
        <v>4.994950374484616</v>
      </c>
      <c r="N66">
        <v>13</v>
      </c>
      <c r="O66">
        <v>42</v>
      </c>
      <c r="P66">
        <v>46</v>
      </c>
      <c r="Q66" t="s">
        <v>178</v>
      </c>
      <c r="R66" t="s">
        <v>177</v>
      </c>
      <c r="S66" t="s">
        <v>177</v>
      </c>
      <c r="T66" t="s">
        <v>177</v>
      </c>
      <c r="U66" t="s">
        <v>178</v>
      </c>
      <c r="V66" t="s">
        <v>177</v>
      </c>
      <c r="W66" t="s">
        <v>178</v>
      </c>
      <c r="X66">
        <v>28</v>
      </c>
      <c r="Y66" t="s">
        <v>178</v>
      </c>
      <c r="Z66">
        <v>64</v>
      </c>
      <c r="AA66">
        <v>48</v>
      </c>
      <c r="AB66" t="s">
        <v>177</v>
      </c>
      <c r="AC66">
        <v>21</v>
      </c>
      <c r="AD66" t="s">
        <v>177</v>
      </c>
      <c r="AE66">
        <v>6</v>
      </c>
      <c r="AF66">
        <v>51.666699999999999</v>
      </c>
      <c r="AG66">
        <v>47.5</v>
      </c>
      <c r="AH66" t="s">
        <v>177</v>
      </c>
      <c r="AI66" t="s">
        <v>177</v>
      </c>
      <c r="AJ66" t="s">
        <v>178</v>
      </c>
      <c r="AK66" t="s">
        <v>177</v>
      </c>
      <c r="AL66" t="s">
        <v>178</v>
      </c>
      <c r="AM66" t="s">
        <v>178</v>
      </c>
      <c r="AN66">
        <v>23.5</v>
      </c>
      <c r="AO66">
        <v>89</v>
      </c>
      <c r="AP66" t="s">
        <v>177</v>
      </c>
      <c r="AQ66" t="s">
        <v>178</v>
      </c>
      <c r="AR66" t="s">
        <v>177</v>
      </c>
      <c r="AS66" t="s">
        <v>178</v>
      </c>
      <c r="AT66" t="s">
        <v>177</v>
      </c>
      <c r="AU66" t="s">
        <v>177</v>
      </c>
      <c r="AV66" t="s">
        <v>177</v>
      </c>
      <c r="AW66">
        <v>49</v>
      </c>
      <c r="AX66">
        <v>43</v>
      </c>
      <c r="AY66">
        <v>44</v>
      </c>
      <c r="AZ66" t="s">
        <v>178</v>
      </c>
      <c r="BA66" t="s">
        <v>178</v>
      </c>
      <c r="BB66" t="s">
        <v>177</v>
      </c>
      <c r="BC66">
        <v>60</v>
      </c>
      <c r="BD66" t="s">
        <v>178</v>
      </c>
      <c r="BE66">
        <v>21</v>
      </c>
      <c r="BF66" t="s">
        <v>178</v>
      </c>
    </row>
    <row r="67" spans="1:58" x14ac:dyDescent="0.25">
      <c r="A67">
        <v>20160215</v>
      </c>
      <c r="B67" s="7" t="s">
        <v>106</v>
      </c>
      <c r="C67" t="s">
        <v>97</v>
      </c>
      <c r="D67" t="s">
        <v>99</v>
      </c>
      <c r="E67" t="s">
        <v>167</v>
      </c>
      <c r="I67">
        <v>24</v>
      </c>
      <c r="J67">
        <v>235</v>
      </c>
      <c r="K67">
        <f t="shared" si="2"/>
        <v>43.369050000000001</v>
      </c>
      <c r="L67">
        <f t="shared" si="3"/>
        <v>5.6845278338406251</v>
      </c>
      <c r="N67" t="s">
        <v>177</v>
      </c>
      <c r="O67" t="s">
        <v>177</v>
      </c>
      <c r="P67">
        <v>47</v>
      </c>
      <c r="Q67" t="s">
        <v>178</v>
      </c>
      <c r="R67" t="s">
        <v>177</v>
      </c>
      <c r="S67" t="s">
        <v>177</v>
      </c>
      <c r="T67" t="s">
        <v>177</v>
      </c>
      <c r="U67" t="s">
        <v>178</v>
      </c>
      <c r="V67" t="s">
        <v>177</v>
      </c>
      <c r="W67" t="s">
        <v>178</v>
      </c>
      <c r="X67">
        <v>26.5</v>
      </c>
      <c r="Y67" t="s">
        <v>178</v>
      </c>
      <c r="Z67" t="s">
        <v>178</v>
      </c>
      <c r="AA67" t="s">
        <v>177</v>
      </c>
      <c r="AB67" t="s">
        <v>177</v>
      </c>
      <c r="AC67" t="s">
        <v>178</v>
      </c>
      <c r="AD67" t="s">
        <v>177</v>
      </c>
      <c r="AE67">
        <v>10</v>
      </c>
      <c r="AF67">
        <v>50</v>
      </c>
      <c r="AG67">
        <v>59</v>
      </c>
      <c r="AH67">
        <v>17</v>
      </c>
      <c r="AI67" t="s">
        <v>177</v>
      </c>
      <c r="AJ67" t="s">
        <v>178</v>
      </c>
      <c r="AK67" t="s">
        <v>177</v>
      </c>
      <c r="AL67" t="s">
        <v>178</v>
      </c>
      <c r="AM67" t="s">
        <v>178</v>
      </c>
      <c r="AN67">
        <v>24</v>
      </c>
      <c r="AO67">
        <v>91</v>
      </c>
      <c r="AP67" t="s">
        <v>177</v>
      </c>
      <c r="AQ67" t="s">
        <v>178</v>
      </c>
      <c r="AR67" t="s">
        <v>177</v>
      </c>
      <c r="AS67" t="s">
        <v>178</v>
      </c>
      <c r="AT67" t="s">
        <v>177</v>
      </c>
      <c r="AU67" t="s">
        <v>177</v>
      </c>
      <c r="AV67">
        <v>33</v>
      </c>
      <c r="AW67">
        <v>56.666699999999999</v>
      </c>
      <c r="AX67">
        <v>45</v>
      </c>
      <c r="AY67">
        <v>45</v>
      </c>
      <c r="AZ67" t="s">
        <v>178</v>
      </c>
      <c r="BA67" t="s">
        <v>178</v>
      </c>
      <c r="BB67" t="s">
        <v>177</v>
      </c>
      <c r="BC67">
        <v>66</v>
      </c>
      <c r="BD67" t="s">
        <v>178</v>
      </c>
      <c r="BE67" t="s">
        <v>178</v>
      </c>
      <c r="BF67">
        <v>37</v>
      </c>
    </row>
    <row r="68" spans="1:58" x14ac:dyDescent="0.25">
      <c r="A68">
        <v>20160215</v>
      </c>
      <c r="B68" s="7" t="s">
        <v>106</v>
      </c>
      <c r="C68" t="s">
        <v>103</v>
      </c>
      <c r="D68" t="s">
        <v>99</v>
      </c>
      <c r="E68" t="s">
        <v>168</v>
      </c>
      <c r="I68">
        <v>25</v>
      </c>
      <c r="J68">
        <v>245</v>
      </c>
      <c r="K68">
        <f t="shared" si="2"/>
        <v>40.6875</v>
      </c>
      <c r="L68">
        <f t="shared" si="3"/>
        <v>4.9417176079442937</v>
      </c>
      <c r="N68">
        <v>12</v>
      </c>
      <c r="O68" t="s">
        <v>177</v>
      </c>
      <c r="P68">
        <v>48</v>
      </c>
      <c r="Q68" t="s">
        <v>178</v>
      </c>
      <c r="R68" t="s">
        <v>177</v>
      </c>
      <c r="S68" t="s">
        <v>177</v>
      </c>
      <c r="T68" t="s">
        <v>177</v>
      </c>
      <c r="U68" t="s">
        <v>178</v>
      </c>
      <c r="V68" t="s">
        <v>177</v>
      </c>
      <c r="W68" t="s">
        <v>178</v>
      </c>
      <c r="X68">
        <v>28</v>
      </c>
      <c r="Y68" t="s">
        <v>178</v>
      </c>
      <c r="Z68">
        <v>57</v>
      </c>
      <c r="AA68" t="s">
        <v>177</v>
      </c>
      <c r="AB68" t="s">
        <v>177</v>
      </c>
      <c r="AC68" t="s">
        <v>178</v>
      </c>
      <c r="AD68" t="s">
        <v>177</v>
      </c>
      <c r="AE68">
        <v>9</v>
      </c>
      <c r="AF68">
        <v>56</v>
      </c>
      <c r="AG68">
        <v>58.5</v>
      </c>
      <c r="AH68">
        <v>15</v>
      </c>
      <c r="AI68" t="s">
        <v>177</v>
      </c>
      <c r="AJ68" t="s">
        <v>178</v>
      </c>
      <c r="AK68" t="s">
        <v>177</v>
      </c>
      <c r="AL68">
        <v>31</v>
      </c>
      <c r="AM68" t="s">
        <v>178</v>
      </c>
      <c r="AN68">
        <v>18.5</v>
      </c>
      <c r="AO68" t="s">
        <v>178</v>
      </c>
      <c r="AP68" t="s">
        <v>177</v>
      </c>
      <c r="AQ68" t="s">
        <v>178</v>
      </c>
      <c r="AR68" t="s">
        <v>177</v>
      </c>
      <c r="AS68" t="s">
        <v>178</v>
      </c>
      <c r="AT68" t="s">
        <v>177</v>
      </c>
      <c r="AU68" t="s">
        <v>177</v>
      </c>
      <c r="AV68">
        <v>40</v>
      </c>
      <c r="AW68">
        <v>72</v>
      </c>
      <c r="AX68">
        <v>48</v>
      </c>
      <c r="AY68">
        <v>54</v>
      </c>
      <c r="AZ68" t="s">
        <v>178</v>
      </c>
      <c r="BA68" t="s">
        <v>178</v>
      </c>
      <c r="BB68" t="s">
        <v>177</v>
      </c>
      <c r="BC68">
        <v>64</v>
      </c>
      <c r="BD68" t="s">
        <v>178</v>
      </c>
      <c r="BE68" t="s">
        <v>178</v>
      </c>
      <c r="BF68">
        <v>40</v>
      </c>
    </row>
    <row r="69" spans="1:58" x14ac:dyDescent="0.25">
      <c r="A69">
        <v>20160215</v>
      </c>
      <c r="B69" s="7" t="s">
        <v>106</v>
      </c>
      <c r="C69" t="s">
        <v>104</v>
      </c>
      <c r="D69" t="s">
        <v>99</v>
      </c>
      <c r="E69">
        <v>16215056</v>
      </c>
      <c r="I69">
        <v>26</v>
      </c>
      <c r="J69">
        <v>255</v>
      </c>
      <c r="K69">
        <f t="shared" si="2"/>
        <v>40.388886666666664</v>
      </c>
      <c r="L69">
        <f t="shared" si="3"/>
        <v>6.1632906317112512</v>
      </c>
      <c r="N69">
        <v>13</v>
      </c>
      <c r="O69" t="s">
        <v>177</v>
      </c>
      <c r="P69" t="s">
        <v>178</v>
      </c>
      <c r="Q69" t="s">
        <v>178</v>
      </c>
      <c r="R69" t="s">
        <v>177</v>
      </c>
      <c r="S69" t="s">
        <v>177</v>
      </c>
      <c r="T69" t="s">
        <v>177</v>
      </c>
      <c r="U69" t="s">
        <v>178</v>
      </c>
      <c r="V69" t="s">
        <v>177</v>
      </c>
      <c r="W69" t="s">
        <v>178</v>
      </c>
      <c r="X69">
        <v>20</v>
      </c>
      <c r="Y69">
        <v>49</v>
      </c>
      <c r="Z69" t="s">
        <v>178</v>
      </c>
      <c r="AA69" t="s">
        <v>177</v>
      </c>
      <c r="AB69" t="s">
        <v>177</v>
      </c>
      <c r="AC69" t="s">
        <v>178</v>
      </c>
      <c r="AD69" t="s">
        <v>177</v>
      </c>
      <c r="AE69">
        <v>12</v>
      </c>
      <c r="AF69">
        <v>52.333300000000001</v>
      </c>
      <c r="AG69">
        <v>52.5</v>
      </c>
      <c r="AH69" t="s">
        <v>177</v>
      </c>
      <c r="AI69" t="s">
        <v>177</v>
      </c>
      <c r="AJ69">
        <v>12</v>
      </c>
      <c r="AK69" t="s">
        <v>177</v>
      </c>
      <c r="AL69">
        <v>26</v>
      </c>
      <c r="AM69" t="s">
        <v>178</v>
      </c>
      <c r="AN69">
        <v>13</v>
      </c>
      <c r="AO69">
        <v>93</v>
      </c>
      <c r="AP69" t="s">
        <v>177</v>
      </c>
      <c r="AQ69" t="s">
        <v>178</v>
      </c>
      <c r="AR69" t="s">
        <v>177</v>
      </c>
      <c r="AS69" t="s">
        <v>178</v>
      </c>
      <c r="AT69" t="s">
        <v>177</v>
      </c>
      <c r="AU69" t="s">
        <v>177</v>
      </c>
      <c r="AV69" t="s">
        <v>177</v>
      </c>
      <c r="AW69">
        <v>54</v>
      </c>
      <c r="AX69">
        <v>53</v>
      </c>
      <c r="AY69">
        <v>48</v>
      </c>
      <c r="AZ69" t="s">
        <v>178</v>
      </c>
      <c r="BA69" t="s">
        <v>178</v>
      </c>
      <c r="BB69" t="s">
        <v>177</v>
      </c>
      <c r="BC69">
        <v>67</v>
      </c>
      <c r="BD69" t="s">
        <v>178</v>
      </c>
      <c r="BE69" t="s">
        <v>178</v>
      </c>
      <c r="BF69">
        <v>41</v>
      </c>
    </row>
    <row r="70" spans="1:58" x14ac:dyDescent="0.25">
      <c r="A70">
        <v>20160218</v>
      </c>
      <c r="B70" s="7" t="s">
        <v>100</v>
      </c>
      <c r="C70" t="s">
        <v>97</v>
      </c>
      <c r="D70" t="s">
        <v>99</v>
      </c>
      <c r="E70">
        <v>16218009</v>
      </c>
      <c r="I70">
        <v>27</v>
      </c>
      <c r="J70">
        <v>265</v>
      </c>
      <c r="K70">
        <f t="shared" si="2"/>
        <v>40.013891666666666</v>
      </c>
      <c r="L70">
        <f t="shared" si="3"/>
        <v>6.8530897550319603</v>
      </c>
      <c r="N70" t="s">
        <v>177</v>
      </c>
      <c r="O70" t="s">
        <v>177</v>
      </c>
      <c r="P70" t="s">
        <v>178</v>
      </c>
      <c r="Q70" t="s">
        <v>178</v>
      </c>
      <c r="R70" t="s">
        <v>177</v>
      </c>
      <c r="S70" t="s">
        <v>177</v>
      </c>
      <c r="T70" t="s">
        <v>177</v>
      </c>
      <c r="U70" t="s">
        <v>178</v>
      </c>
      <c r="V70" t="s">
        <v>177</v>
      </c>
      <c r="W70" t="s">
        <v>178</v>
      </c>
      <c r="X70">
        <v>28</v>
      </c>
      <c r="Y70">
        <v>54</v>
      </c>
      <c r="Z70" t="s">
        <v>178</v>
      </c>
      <c r="AA70" t="s">
        <v>177</v>
      </c>
      <c r="AB70" t="s">
        <v>177</v>
      </c>
      <c r="AC70" t="s">
        <v>178</v>
      </c>
      <c r="AD70" t="s">
        <v>177</v>
      </c>
      <c r="AE70">
        <v>12</v>
      </c>
      <c r="AF70">
        <v>59</v>
      </c>
      <c r="AG70">
        <v>51</v>
      </c>
      <c r="AH70" t="s">
        <v>177</v>
      </c>
      <c r="AI70" t="s">
        <v>177</v>
      </c>
      <c r="AJ70">
        <v>10</v>
      </c>
      <c r="AK70" t="s">
        <v>177</v>
      </c>
      <c r="AL70" t="s">
        <v>178</v>
      </c>
      <c r="AM70" t="s">
        <v>178</v>
      </c>
      <c r="AN70">
        <v>13.5</v>
      </c>
      <c r="AO70">
        <v>93</v>
      </c>
      <c r="AP70" t="s">
        <v>177</v>
      </c>
      <c r="AQ70" t="s">
        <v>178</v>
      </c>
      <c r="AR70" t="s">
        <v>177</v>
      </c>
      <c r="AS70" t="s">
        <v>178</v>
      </c>
      <c r="AT70" t="s">
        <v>177</v>
      </c>
      <c r="AU70" t="s">
        <v>177</v>
      </c>
      <c r="AV70">
        <v>31</v>
      </c>
      <c r="AW70">
        <v>39.666699999999999</v>
      </c>
      <c r="AX70">
        <v>50</v>
      </c>
      <c r="AY70" t="s">
        <v>178</v>
      </c>
      <c r="AZ70" t="s">
        <v>178</v>
      </c>
      <c r="BA70" t="s">
        <v>178</v>
      </c>
      <c r="BB70" t="s">
        <v>177</v>
      </c>
      <c r="BC70" t="s">
        <v>178</v>
      </c>
      <c r="BD70" t="s">
        <v>178</v>
      </c>
      <c r="BE70" t="s">
        <v>178</v>
      </c>
      <c r="BF70">
        <v>39</v>
      </c>
    </row>
    <row r="71" spans="1:58" x14ac:dyDescent="0.25">
      <c r="A71">
        <v>20160218</v>
      </c>
      <c r="B71" s="7" t="s">
        <v>100</v>
      </c>
      <c r="C71" t="s">
        <v>101</v>
      </c>
      <c r="D71" t="s">
        <v>99</v>
      </c>
      <c r="E71" t="s">
        <v>169</v>
      </c>
      <c r="I71">
        <v>28</v>
      </c>
      <c r="J71">
        <v>275</v>
      </c>
      <c r="K71">
        <f t="shared" si="2"/>
        <v>32.772727272727273</v>
      </c>
      <c r="L71">
        <f t="shared" si="3"/>
        <v>5.8144833241592169</v>
      </c>
      <c r="N71">
        <v>12</v>
      </c>
      <c r="O71" t="s">
        <v>177</v>
      </c>
      <c r="P71" t="s">
        <v>178</v>
      </c>
      <c r="Q71" t="s">
        <v>178</v>
      </c>
      <c r="R71" t="s">
        <v>177</v>
      </c>
      <c r="S71" t="s">
        <v>177</v>
      </c>
      <c r="T71" t="s">
        <v>177</v>
      </c>
      <c r="U71" t="s">
        <v>178</v>
      </c>
      <c r="V71" t="s">
        <v>177</v>
      </c>
      <c r="W71" t="s">
        <v>178</v>
      </c>
      <c r="X71" t="s">
        <v>178</v>
      </c>
      <c r="Y71">
        <v>55</v>
      </c>
      <c r="Z71" t="s">
        <v>178</v>
      </c>
      <c r="AA71" t="s">
        <v>177</v>
      </c>
      <c r="AB71" t="s">
        <v>177</v>
      </c>
      <c r="AC71" t="s">
        <v>178</v>
      </c>
      <c r="AD71" t="s">
        <v>177</v>
      </c>
      <c r="AE71">
        <v>16</v>
      </c>
      <c r="AF71">
        <v>53.333300000000001</v>
      </c>
      <c r="AG71">
        <v>45.5</v>
      </c>
      <c r="AH71">
        <v>14</v>
      </c>
      <c r="AI71" t="s">
        <v>177</v>
      </c>
      <c r="AJ71">
        <v>9</v>
      </c>
      <c r="AK71" t="s">
        <v>177</v>
      </c>
      <c r="AL71" t="s">
        <v>178</v>
      </c>
      <c r="AM71" t="s">
        <v>178</v>
      </c>
      <c r="AN71">
        <v>15</v>
      </c>
      <c r="AO71" t="s">
        <v>178</v>
      </c>
      <c r="AP71" t="s">
        <v>177</v>
      </c>
      <c r="AQ71" t="s">
        <v>178</v>
      </c>
      <c r="AR71" t="s">
        <v>177</v>
      </c>
      <c r="AS71" t="s">
        <v>178</v>
      </c>
      <c r="AT71" t="s">
        <v>177</v>
      </c>
      <c r="AU71" t="s">
        <v>177</v>
      </c>
      <c r="AV71" t="s">
        <v>177</v>
      </c>
      <c r="AW71">
        <v>49.666699999999999</v>
      </c>
      <c r="AX71">
        <v>52</v>
      </c>
      <c r="AY71" t="s">
        <v>178</v>
      </c>
      <c r="AZ71" t="s">
        <v>178</v>
      </c>
      <c r="BA71" t="s">
        <v>178</v>
      </c>
      <c r="BB71" t="s">
        <v>177</v>
      </c>
      <c r="BC71" t="s">
        <v>178</v>
      </c>
      <c r="BD71" t="s">
        <v>178</v>
      </c>
      <c r="BE71" t="s">
        <v>178</v>
      </c>
      <c r="BF71">
        <v>39</v>
      </c>
    </row>
    <row r="72" spans="1:58" x14ac:dyDescent="0.25">
      <c r="A72">
        <v>20160218</v>
      </c>
      <c r="B72" s="7" t="s">
        <v>100</v>
      </c>
      <c r="C72" t="s">
        <v>102</v>
      </c>
      <c r="D72" t="s">
        <v>99</v>
      </c>
      <c r="E72" t="s">
        <v>170</v>
      </c>
      <c r="I72">
        <v>29</v>
      </c>
      <c r="J72">
        <v>285</v>
      </c>
      <c r="K72">
        <f t="shared" si="2"/>
        <v>34.151518181818183</v>
      </c>
      <c r="L72">
        <f t="shared" si="3"/>
        <v>6.8744316482669454</v>
      </c>
      <c r="N72" t="s">
        <v>177</v>
      </c>
      <c r="O72" t="s">
        <v>177</v>
      </c>
      <c r="P72" t="s">
        <v>178</v>
      </c>
      <c r="Q72" t="s">
        <v>178</v>
      </c>
      <c r="R72" t="s">
        <v>177</v>
      </c>
      <c r="S72" t="s">
        <v>177</v>
      </c>
      <c r="T72" t="s">
        <v>177</v>
      </c>
      <c r="U72" t="s">
        <v>178</v>
      </c>
      <c r="V72" t="s">
        <v>177</v>
      </c>
      <c r="W72" t="s">
        <v>178</v>
      </c>
      <c r="X72">
        <v>17</v>
      </c>
      <c r="Y72" t="s">
        <v>178</v>
      </c>
      <c r="Z72" t="s">
        <v>178</v>
      </c>
      <c r="AA72" t="s">
        <v>177</v>
      </c>
      <c r="AB72" t="s">
        <v>177</v>
      </c>
      <c r="AC72" t="s">
        <v>178</v>
      </c>
      <c r="AD72" t="s">
        <v>177</v>
      </c>
      <c r="AE72">
        <v>14</v>
      </c>
      <c r="AF72">
        <v>62.5</v>
      </c>
      <c r="AG72">
        <v>57.5</v>
      </c>
      <c r="AH72">
        <v>13</v>
      </c>
      <c r="AI72" t="s">
        <v>177</v>
      </c>
      <c r="AJ72">
        <v>8</v>
      </c>
      <c r="AK72" t="s">
        <v>177</v>
      </c>
      <c r="AL72" t="s">
        <v>178</v>
      </c>
      <c r="AM72" t="s">
        <v>178</v>
      </c>
      <c r="AN72">
        <v>14</v>
      </c>
      <c r="AO72">
        <v>67</v>
      </c>
      <c r="AP72" t="s">
        <v>177</v>
      </c>
      <c r="AQ72" t="s">
        <v>178</v>
      </c>
      <c r="AR72" t="s">
        <v>177</v>
      </c>
      <c r="AS72" t="s">
        <v>178</v>
      </c>
      <c r="AT72" t="s">
        <v>177</v>
      </c>
      <c r="AU72" t="s">
        <v>177</v>
      </c>
      <c r="AV72">
        <v>26</v>
      </c>
      <c r="AW72">
        <v>42.666699999999999</v>
      </c>
      <c r="AX72">
        <v>54</v>
      </c>
      <c r="AY72" t="s">
        <v>178</v>
      </c>
      <c r="AZ72" t="s">
        <v>178</v>
      </c>
      <c r="BA72" t="s">
        <v>178</v>
      </c>
      <c r="BB72" t="s">
        <v>177</v>
      </c>
      <c r="BC72" t="s">
        <v>178</v>
      </c>
      <c r="BD72" t="s">
        <v>178</v>
      </c>
      <c r="BE72" t="s">
        <v>178</v>
      </c>
      <c r="BF72" t="s">
        <v>178</v>
      </c>
    </row>
    <row r="73" spans="1:58" x14ac:dyDescent="0.25">
      <c r="A73">
        <v>20160310</v>
      </c>
      <c r="B73" s="7" t="s">
        <v>98</v>
      </c>
      <c r="C73" t="s">
        <v>97</v>
      </c>
      <c r="D73" t="s">
        <v>99</v>
      </c>
      <c r="E73" t="s">
        <v>171</v>
      </c>
      <c r="I73">
        <v>30</v>
      </c>
      <c r="J73">
        <v>295</v>
      </c>
      <c r="K73">
        <f t="shared" si="2"/>
        <v>30.15</v>
      </c>
      <c r="L73">
        <f t="shared" si="3"/>
        <v>6.6001052180165187</v>
      </c>
      <c r="N73">
        <v>10</v>
      </c>
      <c r="O73" t="s">
        <v>177</v>
      </c>
      <c r="P73" t="s">
        <v>178</v>
      </c>
      <c r="Q73" t="s">
        <v>178</v>
      </c>
      <c r="R73" t="s">
        <v>177</v>
      </c>
      <c r="S73" t="s">
        <v>177</v>
      </c>
      <c r="T73" t="s">
        <v>177</v>
      </c>
      <c r="U73" t="s">
        <v>178</v>
      </c>
      <c r="V73" t="s">
        <v>177</v>
      </c>
      <c r="W73" t="s">
        <v>178</v>
      </c>
      <c r="X73" t="s">
        <v>178</v>
      </c>
      <c r="Y73" t="s">
        <v>178</v>
      </c>
      <c r="Z73" t="s">
        <v>178</v>
      </c>
      <c r="AA73" t="s">
        <v>177</v>
      </c>
      <c r="AB73" t="s">
        <v>177</v>
      </c>
      <c r="AC73" t="s">
        <v>178</v>
      </c>
      <c r="AD73" t="s">
        <v>177</v>
      </c>
      <c r="AE73">
        <v>13</v>
      </c>
      <c r="AF73">
        <v>62.5</v>
      </c>
      <c r="AG73">
        <v>54</v>
      </c>
      <c r="AH73">
        <v>17</v>
      </c>
      <c r="AI73" t="s">
        <v>177</v>
      </c>
      <c r="AJ73">
        <v>9</v>
      </c>
      <c r="AK73" t="s">
        <v>177</v>
      </c>
      <c r="AL73" t="s">
        <v>178</v>
      </c>
      <c r="AM73" t="s">
        <v>178</v>
      </c>
      <c r="AN73">
        <v>13.5</v>
      </c>
      <c r="AO73">
        <v>27</v>
      </c>
      <c r="AP73" t="s">
        <v>177</v>
      </c>
      <c r="AQ73" t="s">
        <v>178</v>
      </c>
      <c r="AR73" t="s">
        <v>177</v>
      </c>
      <c r="AS73" t="s">
        <v>178</v>
      </c>
      <c r="AT73" t="s">
        <v>177</v>
      </c>
      <c r="AU73" t="s">
        <v>177</v>
      </c>
      <c r="AV73" t="s">
        <v>177</v>
      </c>
      <c r="AW73">
        <v>41.5</v>
      </c>
      <c r="AX73">
        <v>54</v>
      </c>
      <c r="AY73" t="s">
        <v>178</v>
      </c>
      <c r="AZ73" t="s">
        <v>178</v>
      </c>
      <c r="BA73" t="s">
        <v>178</v>
      </c>
      <c r="BB73" t="s">
        <v>177</v>
      </c>
      <c r="BC73" t="s">
        <v>178</v>
      </c>
      <c r="BD73" t="s">
        <v>178</v>
      </c>
      <c r="BE73" t="s">
        <v>178</v>
      </c>
      <c r="BF73" t="s">
        <v>178</v>
      </c>
    </row>
    <row r="74" spans="1:58" x14ac:dyDescent="0.25">
      <c r="A74">
        <v>20160229</v>
      </c>
      <c r="B74" s="7" t="s">
        <v>98</v>
      </c>
      <c r="C74" t="s">
        <v>97</v>
      </c>
      <c r="D74" t="s">
        <v>99</v>
      </c>
      <c r="E74" t="s">
        <v>172</v>
      </c>
    </row>
    <row r="75" spans="1:58" x14ac:dyDescent="0.25">
      <c r="A75">
        <v>20160229</v>
      </c>
      <c r="B75" s="7" t="s">
        <v>98</v>
      </c>
      <c r="C75" t="s">
        <v>101</v>
      </c>
      <c r="D75" t="s">
        <v>99</v>
      </c>
      <c r="E75">
        <v>16229041</v>
      </c>
    </row>
    <row r="76" spans="1:58" x14ac:dyDescent="0.25">
      <c r="A76">
        <v>20160229</v>
      </c>
      <c r="B76" s="7" t="s">
        <v>98</v>
      </c>
      <c r="C76" t="s">
        <v>103</v>
      </c>
      <c r="D76" t="s">
        <v>99</v>
      </c>
      <c r="E76">
        <v>16229053</v>
      </c>
    </row>
    <row r="77" spans="1:58" x14ac:dyDescent="0.25">
      <c r="A77">
        <v>20160216</v>
      </c>
      <c r="B77" s="7" t="s">
        <v>105</v>
      </c>
      <c r="C77" t="s">
        <v>104</v>
      </c>
      <c r="D77" t="s">
        <v>99</v>
      </c>
      <c r="E77">
        <v>16216068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ETC passive &amp; AP</vt:lpstr>
      <vt:lpstr>ETC repetitive firing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Elise</cp:lastModifiedBy>
  <cp:lastPrinted>2016-06-16T18:34:01Z</cp:lastPrinted>
  <dcterms:created xsi:type="dcterms:W3CDTF">2016-06-16T08:10:54Z</dcterms:created>
  <dcterms:modified xsi:type="dcterms:W3CDTF">2021-05-20T11:01:47Z</dcterms:modified>
</cp:coreProperties>
</file>