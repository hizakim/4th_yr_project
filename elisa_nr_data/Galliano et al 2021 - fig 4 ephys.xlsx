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petitive firing" sheetId="2" r:id="rId5"/>
  </sheets>
  <definedNames/>
  <calcPr/>
  <extLst>
    <ext uri="GoogleSheetsCustomDataVersion1">
      <go:sheetsCustomData xmlns:go="http://customooxmlschemas.google.com/" r:id="rId6" roundtripDataSignature="AMtx7mg+tJpW17L+ZX1ysSJSYjD14I8a+Q=="/>
    </ext>
  </extLst>
</workbook>
</file>

<file path=xl/sharedStrings.xml><?xml version="1.0" encoding="utf-8"?>
<sst xmlns="http://schemas.openxmlformats.org/spreadsheetml/2006/main" count="461" uniqueCount="218">
  <si>
    <t>M/TCs acute slice patching, 24 naris occlusion</t>
  </si>
  <si>
    <t>PASSIVE PROPERTIES</t>
  </si>
  <si>
    <t>ACTION POTENTIAL PROPERTIES</t>
  </si>
  <si>
    <t>REPETITIVE FIRING</t>
  </si>
  <si>
    <t>Date</t>
  </si>
  <si>
    <t>Cell</t>
  </si>
  <si>
    <t>experimenter</t>
  </si>
  <si>
    <t>Treatment</t>
  </si>
  <si>
    <t>Vrest</t>
  </si>
  <si>
    <t>file name</t>
  </si>
  <si>
    <t>I hold (pA)</t>
  </si>
  <si>
    <t>Rs (Mohm)</t>
  </si>
  <si>
    <t>Rm (Mohm) first measurment</t>
  </si>
  <si>
    <t>Rm mean (Mohm)</t>
  </si>
  <si>
    <t>Cm mean (pF)</t>
  </si>
  <si>
    <t>Spike trace</t>
  </si>
  <si>
    <t>Ithresh pA</t>
  </si>
  <si>
    <t>Ithresh pA/pF</t>
  </si>
  <si>
    <t>VBase (mV)</t>
  </si>
  <si>
    <t>Vthresh (mV)</t>
  </si>
  <si>
    <t>Vmax  (mV)</t>
  </si>
  <si>
    <t>AP height  (mV)</t>
  </si>
  <si>
    <t>WHH  (ms)</t>
  </si>
  <si>
    <t>max dVdt</t>
  </si>
  <si>
    <t>onset rapidness (1/ms)</t>
  </si>
  <si>
    <t>delta (pA)</t>
  </si>
  <si>
    <t>Cm</t>
  </si>
  <si>
    <t>v_hold  (mV)</t>
  </si>
  <si>
    <t>Ithreshold pA</t>
  </si>
  <si>
    <t>Ithreshold  pA/pF</t>
  </si>
  <si>
    <t>Vthreshold  (mV)</t>
  </si>
  <si>
    <t>AHP  (mV)</t>
  </si>
  <si>
    <t>rel AHP (mV)</t>
  </si>
  <si>
    <t>Max nspikes</t>
  </si>
  <si>
    <t>CV</t>
  </si>
  <si>
    <t>first spike delay (ms)</t>
  </si>
  <si>
    <t>time of peak</t>
  </si>
  <si>
    <t>A</t>
  </si>
  <si>
    <t>elisa</t>
  </si>
  <si>
    <t>unperturbed</t>
  </si>
  <si>
    <t>B</t>
  </si>
  <si>
    <t>17712030, 25,44</t>
  </si>
  <si>
    <t>C</t>
  </si>
  <si>
    <t>17712060,62,64</t>
  </si>
  <si>
    <t>D</t>
  </si>
  <si>
    <t>17712073,79,81</t>
  </si>
  <si>
    <t>E</t>
  </si>
  <si>
    <t>17712094, 111</t>
  </si>
  <si>
    <t>17o09025</t>
  </si>
  <si>
    <t>17o09028</t>
  </si>
  <si>
    <t>17o09026 (30 delta 10)</t>
  </si>
  <si>
    <t>G</t>
  </si>
  <si>
    <t>17o09062</t>
  </si>
  <si>
    <t>17o09063</t>
  </si>
  <si>
    <t>Cell 1</t>
  </si>
  <si>
    <t>Lorcan</t>
  </si>
  <si>
    <t>NA</t>
  </si>
  <si>
    <t>100918_Cell1_0004</t>
  </si>
  <si>
    <t>100918_Cell1_0005</t>
  </si>
  <si>
    <t>100918_Cell1_0008</t>
  </si>
  <si>
    <t>Cell 3</t>
  </si>
  <si>
    <t>100918_Cell3_0002</t>
  </si>
  <si>
    <t>100918_Cell3_0004</t>
  </si>
  <si>
    <r>
      <rPr>
        <rFont val="Calibri"/>
        <color theme="1"/>
        <sz val="11.0"/>
      </rPr>
      <t xml:space="preserve">100918_Cell3_0006;  </t>
    </r>
    <r>
      <rPr>
        <rFont val="Calibri"/>
        <color theme="1"/>
        <sz val="11.0"/>
      </rPr>
      <t xml:space="preserve"> 100918_Cell3_0008</t>
    </r>
  </si>
  <si>
    <t>Cell 4</t>
  </si>
  <si>
    <t>100918_Cell4_0003 and 0002</t>
  </si>
  <si>
    <t>100918_Cell4_0004</t>
  </si>
  <si>
    <r>
      <rPr>
        <rFont val="Calibri"/>
        <color theme="1"/>
        <sz val="11.0"/>
      </rPr>
      <t xml:space="preserve">100918_Cell4_0007;  </t>
    </r>
    <r>
      <rPr>
        <rFont val="Calibri"/>
        <color theme="1"/>
        <sz val="11.0"/>
      </rPr>
      <t xml:space="preserve"> 100918_Cell4_0010</t>
    </r>
  </si>
  <si>
    <t>Cell 5</t>
  </si>
  <si>
    <t>100918_Cell5_0003</t>
  </si>
  <si>
    <t>100918_Cell5_0004</t>
  </si>
  <si>
    <r>
      <rPr>
        <rFont val="Calibri"/>
        <color theme="1"/>
        <sz val="11.0"/>
      </rPr>
      <t>100918_Cell5_0010;</t>
    </r>
    <r>
      <rPr>
        <rFont val="Calibri"/>
        <color theme="1"/>
        <sz val="11.0"/>
      </rPr>
      <t xml:space="preserve">   100918_Cell5_0012</t>
    </r>
  </si>
  <si>
    <t>Cell 6</t>
  </si>
  <si>
    <t>100918_Cell6_0002 and 0001</t>
  </si>
  <si>
    <t>100918_Cell6_0003</t>
  </si>
  <si>
    <t>100918_Cell6_0006</t>
  </si>
  <si>
    <t>220818_Cell6_0003</t>
  </si>
  <si>
    <t>220818_Cell6_0004</t>
  </si>
  <si>
    <t>220818_Cell6_0007</t>
  </si>
  <si>
    <t>220818_Cell5_0002</t>
  </si>
  <si>
    <t>220818_Cell5_0003</t>
  </si>
  <si>
    <t>220818_Cell5_0007</t>
  </si>
  <si>
    <t>220818_Cell3_0004</t>
  </si>
  <si>
    <t>220818_Cell3_0006</t>
  </si>
  <si>
    <t>220818_Cell3_0009</t>
  </si>
  <si>
    <t>220818_Cell1_0007</t>
  </si>
  <si>
    <t>220818_Cell1_0008</t>
  </si>
  <si>
    <r>
      <rPr>
        <rFont val="calibri"/>
        <color theme="1"/>
        <sz val="11.0"/>
      </rPr>
      <t>220818_Cell1_0011;</t>
    </r>
    <r>
      <rPr>
        <rFont val="Calibri"/>
        <color theme="1"/>
        <sz val="11.0"/>
      </rPr>
      <t xml:space="preserve">   220818_Cell1_0014</t>
    </r>
  </si>
  <si>
    <t>160818_Cell1_0003</t>
  </si>
  <si>
    <t>160818_Cell1_0004</t>
  </si>
  <si>
    <t>160818_Cell3_0004</t>
  </si>
  <si>
    <t>160818_Cell3_0006</t>
  </si>
  <si>
    <t>160818_Cell3_0009</t>
  </si>
  <si>
    <t>160818_Cell4_0007</t>
  </si>
  <si>
    <t>160818_Cell4_0008</t>
  </si>
  <si>
    <t>160818_Cell4_0011</t>
  </si>
  <si>
    <t>160818_Cell5_0002</t>
  </si>
  <si>
    <t>160818_Cell5_0004</t>
  </si>
  <si>
    <t>Cell 7</t>
  </si>
  <si>
    <t>160818_Cell7_0002 and 160818_Cell7_0001</t>
  </si>
  <si>
    <t>160818_Cell7_0003</t>
  </si>
  <si>
    <t>160818_Cell7_0005</t>
  </si>
  <si>
    <t>Cell 8</t>
  </si>
  <si>
    <t>160818_Cell8_0002</t>
  </si>
  <si>
    <t>160818_Cell8_0003</t>
  </si>
  <si>
    <t>160818_Cell8_0005</t>
  </si>
  <si>
    <t>Cell 9</t>
  </si>
  <si>
    <t>160818_Cell9_0006</t>
  </si>
  <si>
    <t>160818_Cell9_0007</t>
  </si>
  <si>
    <t>160818_Cell9_0009</t>
  </si>
  <si>
    <t>130818_Cell3_0004 and 0001</t>
  </si>
  <si>
    <r>
      <rPr>
        <rFont val="calibri"/>
        <color theme="1"/>
        <sz val="11.0"/>
      </rPr>
      <t xml:space="preserve">130818_Cell3_0005;  </t>
    </r>
    <r>
      <rPr>
        <rFont val="Calibri"/>
        <color theme="1"/>
        <sz val="11.0"/>
      </rPr>
      <t xml:space="preserve"> 130818_Cell3_0007</t>
    </r>
  </si>
  <si>
    <t>130818_Cell3_0011</t>
  </si>
  <si>
    <t>Cell A</t>
  </si>
  <si>
    <t>Elisa</t>
  </si>
  <si>
    <r>
      <rPr>
        <rFont val="calibri"/>
        <color theme="1"/>
        <sz val="11.0"/>
      </rPr>
      <t xml:space="preserve">17712007;   </t>
    </r>
    <r>
      <rPr>
        <rFont val="Calibri"/>
        <color theme="1"/>
        <sz val="11.0"/>
      </rPr>
      <t>17712011</t>
    </r>
  </si>
  <si>
    <t>Cell B</t>
  </si>
  <si>
    <r>
      <rPr>
        <rFont val="calibri"/>
        <color theme="1"/>
        <sz val="11.0"/>
      </rPr>
      <t xml:space="preserve">17712035;  </t>
    </r>
    <r>
      <rPr>
        <rFont val="Calibri"/>
        <color theme="1"/>
        <sz val="11.0"/>
      </rPr>
      <t xml:space="preserve"> 17712042</t>
    </r>
  </si>
  <si>
    <r>
      <rPr>
        <rFont val="Calibri"/>
        <color theme="1"/>
        <sz val="11.0"/>
      </rPr>
      <t xml:space="preserve">17712027; 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17712030</t>
    </r>
  </si>
  <si>
    <t>Cell C</t>
  </si>
  <si>
    <r>
      <rPr>
        <rFont val="calibri"/>
        <color theme="1"/>
        <sz val="11.0"/>
      </rPr>
      <t xml:space="preserve">17712062;  </t>
    </r>
    <r>
      <rPr>
        <rFont val="Calibri"/>
        <color theme="1"/>
        <sz val="11.0"/>
      </rPr>
      <t xml:space="preserve"> 17712062</t>
    </r>
  </si>
  <si>
    <t>Cell D</t>
  </si>
  <si>
    <t>Cell E</t>
  </si>
  <si>
    <r>
      <rPr>
        <rFont val="calibri"/>
        <color theme="1"/>
        <sz val="11.0"/>
      </rPr>
      <t xml:space="preserve">17712102;  </t>
    </r>
    <r>
      <rPr>
        <rFont val="Calibri"/>
        <color theme="1"/>
        <sz val="11.0"/>
      </rPr>
      <t xml:space="preserve"> 17712113</t>
    </r>
  </si>
  <si>
    <r>
      <rPr>
        <rFont val="Calibri"/>
        <color theme="1"/>
        <sz val="11.0"/>
      </rPr>
      <t>17712094</t>
    </r>
    <r>
      <rPr>
        <rFont val="Calibri"/>
        <color theme="1"/>
        <sz val="11.0"/>
      </rPr>
      <t>;   17712097</t>
    </r>
  </si>
  <si>
    <t>17o09027</t>
  </si>
  <si>
    <r>
      <rPr>
        <rFont val="Calibri"/>
        <color theme="1"/>
        <sz val="11.0"/>
      </rPr>
      <t xml:space="preserve">17o09026;  </t>
    </r>
    <r>
      <rPr>
        <rFont val="Calibri"/>
        <color theme="1"/>
        <sz val="11.0"/>
      </rPr>
      <t xml:space="preserve"> 17o09030</t>
    </r>
  </si>
  <si>
    <r>
      <rPr>
        <rFont val="Calibri"/>
        <b/>
        <color theme="1"/>
        <sz val="11.0"/>
      </rPr>
      <t>5,</t>
    </r>
    <r>
      <rPr>
        <rFont val="Calibri"/>
        <color theme="1"/>
        <sz val="11.0"/>
      </rPr>
      <t xml:space="preserve"> 10</t>
    </r>
  </si>
  <si>
    <t>Cell G</t>
  </si>
  <si>
    <t>17o09074</t>
  </si>
  <si>
    <r>
      <rPr>
        <rFont val="calibri"/>
        <color theme="1"/>
        <sz val="11.0"/>
      </rPr>
      <t xml:space="preserve">17o09065;   </t>
    </r>
    <r>
      <rPr>
        <rFont val="Calibri"/>
        <color theme="1"/>
        <sz val="11.0"/>
      </rPr>
      <t>17o09075</t>
    </r>
  </si>
  <si>
    <t>17o09073</t>
  </si>
  <si>
    <t xml:space="preserve"> 02/10/2018</t>
  </si>
  <si>
    <t>Occluded</t>
  </si>
  <si>
    <t>021018_Cell1_0004 and 0003</t>
  </si>
  <si>
    <t>021018_Cell1_0005</t>
  </si>
  <si>
    <t>021018_Cell1_0010</t>
  </si>
  <si>
    <t>Cell 2</t>
  </si>
  <si>
    <t>021018_Cell2_0005 and 0003</t>
  </si>
  <si>
    <t>021018_Cell2_0006</t>
  </si>
  <si>
    <r>
      <rPr>
        <rFont val="Calibri"/>
        <color theme="1"/>
        <sz val="11.0"/>
      </rPr>
      <t>021018_Cell2_0011;</t>
    </r>
    <r>
      <rPr>
        <rFont val="Calibri"/>
        <color theme="1"/>
        <sz val="11.0"/>
      </rPr>
      <t xml:space="preserve">   021018_Cell2_0012;   021018_Cell2_0014</t>
    </r>
  </si>
  <si>
    <t>021018_Cell3_0002</t>
  </si>
  <si>
    <t>021018_Cell3_0003</t>
  </si>
  <si>
    <t>021018_Cell3_0008</t>
  </si>
  <si>
    <t>070918_Cell1_0002</t>
  </si>
  <si>
    <t>070918_Cell1_0003</t>
  </si>
  <si>
    <t>070918_Cell1_0006;   070918_Cell1_0008</t>
  </si>
  <si>
    <t>070918_Cell3_0002</t>
  </si>
  <si>
    <t>070918_Cell3_0003</t>
  </si>
  <si>
    <r>
      <rPr>
        <rFont val="calibri"/>
        <color theme="1"/>
        <sz val="11.0"/>
      </rPr>
      <t xml:space="preserve">070918_Cell3_0006;  </t>
    </r>
    <r>
      <rPr>
        <rFont val="Calibri"/>
        <color theme="1"/>
        <sz val="11.0"/>
      </rPr>
      <t xml:space="preserve"> 070918_Cell3_0008</t>
    </r>
  </si>
  <si>
    <t>070918_Cell4_0002 and 0001</t>
  </si>
  <si>
    <t>070918_Cell4_0003</t>
  </si>
  <si>
    <t>070918_Cell4_0006</t>
  </si>
  <si>
    <t>070918_Cell5_0002</t>
  </si>
  <si>
    <t>070918_Cell5_0003</t>
  </si>
  <si>
    <t>070918_Cell5_0006</t>
  </si>
  <si>
    <t>310818_Cell1_0002</t>
  </si>
  <si>
    <t>310818_Cell1_0003</t>
  </si>
  <si>
    <t>310818_Cell1_0006</t>
  </si>
  <si>
    <t>310818_Cell3_0003 and 0002</t>
  </si>
  <si>
    <t>310818_Cell3_0004</t>
  </si>
  <si>
    <t>310818_Cell3_0008</t>
  </si>
  <si>
    <t>310818_Cell4_0004</t>
  </si>
  <si>
    <r>
      <rPr>
        <rFont val="Calibri"/>
        <color theme="1"/>
        <sz val="11.0"/>
      </rPr>
      <t>310818_Cell4_0005;</t>
    </r>
    <r>
      <rPr>
        <rFont val="Calibri"/>
        <color theme="1"/>
        <sz val="11.0"/>
      </rPr>
      <t xml:space="preserve">   310818_Cell4_0005;   310818_Cell4_0005</t>
    </r>
  </si>
  <si>
    <r>
      <rPr>
        <rFont val="Calibri"/>
        <color theme="1"/>
        <sz val="11.0"/>
      </rPr>
      <t xml:space="preserve">310818_Cell4_0014; </t>
    </r>
    <r>
      <rPr>
        <rFont val="Calibri"/>
        <color theme="1"/>
        <sz val="11.0"/>
      </rPr>
      <t xml:space="preserve">  310818_Cell4_0016</t>
    </r>
  </si>
  <si>
    <t>310818_Cell5_0004</t>
  </si>
  <si>
    <t>310818_Cell5_0005</t>
  </si>
  <si>
    <t>310818_Cell5_0012</t>
  </si>
  <si>
    <t>310818_Cell6_0003</t>
  </si>
  <si>
    <t>310818_Cell6_0004</t>
  </si>
  <si>
    <r>
      <rPr>
        <rFont val="Calibri"/>
        <color theme="1"/>
        <sz val="11.0"/>
      </rPr>
      <t xml:space="preserve">310818_Cell6_0010; </t>
    </r>
    <r>
      <rPr>
        <rFont val="Calibri"/>
        <color theme="1"/>
        <sz val="11.0"/>
      </rPr>
      <t xml:space="preserve">  310818_Cell6_0014</t>
    </r>
  </si>
  <si>
    <t>310818_Cell7_0002</t>
  </si>
  <si>
    <t>310818_Cell7_0003</t>
  </si>
  <si>
    <t>310818_Cell7_0006</t>
  </si>
  <si>
    <t>310818_Cell8_0002 and 0001</t>
  </si>
  <si>
    <t>310818_Cell8_0003</t>
  </si>
  <si>
    <t>290818_Cell2_0005 and 0002</t>
  </si>
  <si>
    <t>290818_Cell2_0006</t>
  </si>
  <si>
    <t>290818_Cell2_0009</t>
  </si>
  <si>
    <t>290818_Cell3_0002 and  0001</t>
  </si>
  <si>
    <r>
      <rPr>
        <rFont val="Calibri"/>
        <color theme="1"/>
        <sz val="11.0"/>
      </rPr>
      <t xml:space="preserve">290818_Cell3_0003;  </t>
    </r>
    <r>
      <rPr>
        <rFont val="Calibri"/>
        <color theme="1"/>
        <sz val="11.0"/>
      </rPr>
      <t xml:space="preserve"> 290818_Cell3_0003; </t>
    </r>
  </si>
  <si>
    <t>290818_Cell3_0007</t>
  </si>
  <si>
    <t>290818_Cell4_0002</t>
  </si>
  <si>
    <t>290818_Cell4_0004</t>
  </si>
  <si>
    <r>
      <rPr>
        <rFont val="Calibri"/>
        <color theme="1"/>
        <sz val="11.0"/>
      </rPr>
      <t xml:space="preserve">290818_Cell4_0009;  </t>
    </r>
    <r>
      <rPr>
        <rFont val="Calibri"/>
        <color theme="1"/>
        <sz val="11.0"/>
      </rPr>
      <t xml:space="preserve"> 290818_Cell4_0011</t>
    </r>
  </si>
  <si>
    <t>290818_Cell5_0006</t>
  </si>
  <si>
    <t>290818_Cell5_0007</t>
  </si>
  <si>
    <t>290818_Cell5_0014</t>
  </si>
  <si>
    <t>Chris</t>
  </si>
  <si>
    <r>
      <rPr>
        <rFont val="Calibri"/>
        <color theme="1"/>
        <sz val="11.0"/>
      </rPr>
      <t xml:space="preserve">17802029;    </t>
    </r>
    <r>
      <rPr>
        <rFont val="Calibri"/>
        <color theme="1"/>
        <sz val="11.0"/>
      </rPr>
      <t>17802031</t>
    </r>
  </si>
  <si>
    <t>17802040 and 37</t>
  </si>
  <si>
    <r>
      <rPr>
        <rFont val="calibri"/>
        <color theme="1"/>
        <sz val="11.0"/>
      </rPr>
      <t xml:space="preserve">17802041;  </t>
    </r>
    <r>
      <rPr>
        <rFont val="Calibri"/>
        <color theme="1"/>
        <sz val="11.0"/>
      </rPr>
      <t>17802043</t>
    </r>
  </si>
  <si>
    <r>
      <rPr>
        <rFont val="calibri"/>
        <color theme="1"/>
        <sz val="11.0"/>
      </rPr>
      <t xml:space="preserve">17816028;  </t>
    </r>
    <r>
      <rPr>
        <rFont val="Calibri"/>
        <color theme="1"/>
        <sz val="11.0"/>
      </rPr>
      <t>17816028</t>
    </r>
  </si>
  <si>
    <r>
      <rPr>
        <rFont val="calibri"/>
        <color theme="1"/>
        <sz val="11.0"/>
      </rPr>
      <t xml:space="preserve">17816018;  </t>
    </r>
    <r>
      <rPr>
        <rFont val="Calibri"/>
        <color theme="1"/>
        <sz val="11.0"/>
      </rPr>
      <t xml:space="preserve">17816020;  </t>
    </r>
    <r>
      <rPr>
        <rFont val="Calibri"/>
        <color theme="1"/>
        <sz val="11.0"/>
      </rPr>
      <t>17816030</t>
    </r>
  </si>
  <si>
    <t xml:space="preserve">Cell 9 </t>
  </si>
  <si>
    <t>Cell 11</t>
  </si>
  <si>
    <t>17o03045</t>
  </si>
  <si>
    <r>
      <rPr>
        <rFont val="calibri"/>
        <color theme="1"/>
        <sz val="11.0"/>
      </rPr>
      <t xml:space="preserve">17o03039;  </t>
    </r>
    <r>
      <rPr>
        <rFont val="Calibri"/>
        <color theme="1"/>
        <sz val="11.0"/>
      </rPr>
      <t>17o03046</t>
    </r>
  </si>
  <si>
    <r>
      <rPr>
        <rFont val="calibri"/>
        <color theme="1"/>
        <sz val="11.0"/>
      </rPr>
      <t xml:space="preserve">17o03044; </t>
    </r>
    <r>
      <rPr>
        <rFont val="Calibri"/>
        <color theme="1"/>
        <sz val="11.0"/>
      </rPr>
      <t xml:space="preserve"> 17o03044</t>
    </r>
  </si>
  <si>
    <t>17o11017 and 12</t>
  </si>
  <si>
    <t>17o11018</t>
  </si>
  <si>
    <t>17o18050 and 43</t>
  </si>
  <si>
    <t>17o18051</t>
  </si>
  <si>
    <t>repetitive firing</t>
  </si>
  <si>
    <t>occluded</t>
  </si>
  <si>
    <t>Inj current (pA)</t>
  </si>
  <si>
    <t>mean</t>
  </si>
  <si>
    <t>sem</t>
  </si>
  <si>
    <t xml:space="preserve">bin </t>
  </si>
  <si>
    <t>unperturbed, n=7</t>
  </si>
  <si>
    <t>Occluded, n=9</t>
  </si>
  <si>
    <t>Cell1</t>
  </si>
  <si>
    <t>Cell4</t>
  </si>
  <si>
    <t>Cell B_av</t>
  </si>
  <si>
    <t>Cell_D</t>
  </si>
  <si>
    <t>021018_Cell2_0011</t>
  </si>
  <si>
    <t>021018_Cell2_0012</t>
  </si>
  <si>
    <t>021018_Cell2_0014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</si>
</sst>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9">
    <font>
      <sz val="11.0"/>
      <color theme="1"/>
      <name val="Arial"/>
    </font>
    <font>
      <sz val="18.0"/>
      <color theme="1"/>
    </font>
    <font>
      <sz val="11.0"/>
      <color theme="1"/>
    </font>
    <font>
      <sz val="8.0"/>
      <color theme="1"/>
    </font>
    <font>
      <sz val="11.0"/>
      <color theme="1"/>
      <name val="Calibri"/>
    </font>
    <font>
      <b/>
      <sz val="11.0"/>
    </font>
    <font>
      <b/>
      <sz val="11.0"/>
      <name val="Arial"/>
    </font>
    <font>
      <b/>
      <sz val="11.0"/>
      <color theme="1"/>
      <name val="Calibri"/>
    </font>
    <font>
      <sz val="11.0"/>
      <color theme="8"/>
    </font>
    <font>
      <name val="Arial"/>
    </font>
    <font>
      <color theme="1"/>
      <name val="Calibri"/>
    </font>
    <font>
      <sz val="11.0"/>
    </font>
    <font>
      <b/>
      <sz val="11.0"/>
      <color theme="1"/>
    </font>
    <font>
      <sz val="11.0"/>
      <color rgb="FFC00000"/>
    </font>
    <font/>
    <font>
      <sz val="11.0"/>
      <color rgb="FF548DD4"/>
    </font>
    <font>
      <sz val="15.0"/>
      <color theme="1"/>
      <name val="Calibri"/>
    </font>
    <font>
      <sz val="11.0"/>
      <color theme="8"/>
      <name val="Calibri"/>
    </font>
    <font>
      <sz val="11.0"/>
      <color rgb="FFC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1" fillId="2" fontId="2" numFmtId="0" xfId="0" applyAlignment="1" applyBorder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1" fillId="3" fontId="2" numFmtId="0" xfId="0" applyAlignment="1" applyBorder="1" applyFill="1" applyFont="1">
      <alignment horizontal="left"/>
    </xf>
    <xf borderId="1" fillId="3" fontId="2" numFmtId="0" xfId="0" applyBorder="1" applyFont="1"/>
    <xf borderId="1" fillId="3" fontId="4" numFmtId="0" xfId="0" applyBorder="1" applyFont="1"/>
    <xf borderId="1" fillId="4" fontId="2" numFmtId="0" xfId="0" applyAlignment="1" applyBorder="1" applyFill="1" applyFont="1">
      <alignment horizontal="left"/>
    </xf>
    <xf borderId="1" fillId="4" fontId="2" numFmtId="0" xfId="0" applyBorder="1" applyFont="1"/>
    <xf borderId="1" fillId="5" fontId="2" numFmtId="0" xfId="0" applyAlignment="1" applyBorder="1" applyFill="1" applyFont="1">
      <alignment horizontal="left"/>
    </xf>
    <xf borderId="1" fillId="5" fontId="2" numFmtId="0" xfId="0" applyAlignment="1" applyBorder="1" applyFont="1">
      <alignment horizontal="center"/>
    </xf>
    <xf borderId="1" fillId="5" fontId="2" numFmtId="0" xfId="0" applyBorder="1" applyFont="1"/>
    <xf borderId="1" fillId="5" fontId="4" numFmtId="0" xfId="0" applyBorder="1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0" numFmtId="15" xfId="0" applyAlignment="1" applyFont="1" applyNumberFormat="1">
      <alignment horizontal="center" readingOrder="0"/>
    </xf>
    <xf borderId="0" fillId="0" fontId="8" numFmtId="0" xfId="0" applyAlignment="1" applyFont="1">
      <alignment horizontal="left"/>
    </xf>
    <xf borderId="0" fillId="0" fontId="0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2" numFmtId="15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2" numFmtId="164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2" numFmtId="2" xfId="0" applyAlignment="1" applyFont="1" applyNumberFormat="1">
      <alignment horizontal="left"/>
    </xf>
    <xf borderId="0" fillId="0" fontId="11" numFmtId="0" xfId="0" applyFont="1"/>
    <xf borderId="0" fillId="0" fontId="4" numFmtId="2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2" fillId="0" fontId="2" numFmtId="164" xfId="0" applyAlignment="1" applyBorder="1" applyFont="1" applyNumberFormat="1">
      <alignment horizontal="center"/>
    </xf>
    <xf borderId="0" fillId="0" fontId="4" numFmtId="0" xfId="0" applyAlignment="1" applyFont="1">
      <alignment horizontal="left"/>
    </xf>
    <xf borderId="0" fillId="0" fontId="12" numFmtId="0" xfId="0" applyFont="1"/>
    <xf borderId="0" fillId="0" fontId="0" numFmtId="0" xfId="0" applyAlignment="1" applyFont="1">
      <alignment horizontal="left" readingOrder="0"/>
    </xf>
    <xf borderId="0" fillId="0" fontId="2" numFmtId="0" xfId="0" applyAlignment="1" applyFont="1">
      <alignment vertical="center"/>
    </xf>
    <xf borderId="0" fillId="0" fontId="4" numFmtId="16" xfId="0" applyAlignment="1" applyFont="1" applyNumberFormat="1">
      <alignment horizontal="center"/>
    </xf>
    <xf borderId="0" fillId="0" fontId="13" numFmtId="0" xfId="0" applyFont="1"/>
    <xf borderId="0" fillId="0" fontId="13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2" xfId="0" applyAlignment="1" applyFont="1" applyNumberFormat="1">
      <alignment horizontal="center"/>
    </xf>
    <xf borderId="0" fillId="0" fontId="12" numFmtId="0" xfId="0" applyAlignment="1" applyFont="1">
      <alignment horizontal="right"/>
    </xf>
    <xf borderId="1" fillId="6" fontId="2" numFmtId="164" xfId="0" applyAlignment="1" applyBorder="1" applyFill="1" applyFont="1" applyNumberFormat="1">
      <alignment horizontal="center"/>
    </xf>
    <xf borderId="1" fillId="6" fontId="2" numFmtId="0" xfId="0" applyAlignment="1" applyBorder="1" applyFont="1">
      <alignment horizontal="center"/>
    </xf>
    <xf borderId="0" fillId="6" fontId="2" numFmtId="0" xfId="0" applyAlignment="1" applyFont="1">
      <alignment horizontal="center"/>
    </xf>
    <xf borderId="0" fillId="6" fontId="13" numFmtId="0" xfId="0" applyFont="1"/>
    <xf borderId="0" fillId="6" fontId="14" numFmtId="0" xfId="0" applyFont="1"/>
    <xf borderId="0" fillId="6" fontId="2" numFmtId="0" xfId="0" applyAlignment="1" applyFont="1">
      <alignment horizontal="left"/>
    </xf>
    <xf borderId="0" fillId="6" fontId="10" numFmtId="0" xfId="0" applyFont="1"/>
    <xf borderId="0" fillId="6" fontId="2" numFmtId="0" xfId="0" applyFont="1"/>
    <xf borderId="0" fillId="0" fontId="15" numFmtId="0" xfId="0" applyFont="1"/>
    <xf borderId="0" fillId="0" fontId="16" numFmtId="0" xfId="0" applyFont="1"/>
    <xf borderId="0" fillId="7" fontId="2" numFmtId="0" xfId="0" applyAlignment="1" applyFill="1" applyFont="1">
      <alignment horizontal="center"/>
    </xf>
    <xf borderId="0" fillId="8" fontId="2" numFmtId="0" xfId="0" applyFill="1" applyFont="1"/>
    <xf borderId="0" fillId="8" fontId="2" numFmtId="0" xfId="0" applyAlignment="1" applyFont="1">
      <alignment horizontal="center"/>
    </xf>
    <xf borderId="0" fillId="0" fontId="4" numFmtId="164" xfId="0" applyFont="1" applyNumberFormat="1"/>
    <xf borderId="0" fillId="0" fontId="4" numFmtId="15" xfId="0" applyFont="1" applyNumberFormat="1"/>
    <xf borderId="0" fillId="0" fontId="4" numFmtId="16" xfId="0" applyFont="1" applyNumberFormat="1"/>
    <xf borderId="0" fillId="0" fontId="17" numFmtId="0" xfId="0" applyAlignment="1" applyFont="1">
      <alignment horizontal="left"/>
    </xf>
    <xf borderId="0" fillId="0" fontId="18" numFmtId="0" xfId="0" applyFont="1"/>
    <xf borderId="1" fillId="9" fontId="1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9312217729540568"/>
          <c:y val="0.04360332151463523"/>
          <c:w val="0.7752570436190124"/>
          <c:h val="0.7236843832020997"/>
        </c:manualLayout>
      </c:layout>
      <c:lineChart>
        <c:ser>
          <c:idx val="0"/>
          <c:order val="0"/>
          <c:tx>
            <c:v>unperturbed, n=7</c:v>
          </c:tx>
          <c:spPr>
            <a:ln cmpd="sng">
              <a:solidFill>
                <a:srgbClr val="4F81BD"/>
              </a:solidFill>
            </a:ln>
          </c:spPr>
          <c:marker>
            <c:symbol val="circle"/>
            <c:size val="9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cat>
            <c:strRef>
              <c:f>'repetitive firing'!$A$5:$A$45</c:f>
            </c:strRef>
          </c:cat>
          <c:val>
            <c:numRef>
              <c:f>'repetitive firing'!$B$5:$B$45</c:f>
              <c:numCache/>
            </c:numRef>
          </c:val>
          <c:smooth val="0"/>
        </c:ser>
        <c:ser>
          <c:idx val="1"/>
          <c:order val="1"/>
          <c:tx>
            <c:v>Occluded, n=9</c:v>
          </c:tx>
          <c:spPr>
            <a:ln cmpd="sng">
              <a:solidFill>
                <a:srgbClr val="F79646"/>
              </a:solidFill>
            </a:ln>
          </c:spPr>
          <c:marker>
            <c:symbol val="circle"/>
            <c:size val="9"/>
            <c:spPr>
              <a:solidFill>
                <a:srgbClr val="F79646"/>
              </a:solidFill>
              <a:ln cmpd="sng">
                <a:solidFill>
                  <a:srgbClr val="F79646"/>
                </a:solidFill>
              </a:ln>
            </c:spPr>
          </c:marker>
          <c:cat>
            <c:strRef>
              <c:f>'repetitive firing'!$A$5:$A$45</c:f>
            </c:strRef>
          </c:cat>
          <c:val>
            <c:numRef>
              <c:f>'repetitive firing'!$C$5:$C$45</c:f>
              <c:numCache/>
            </c:numRef>
          </c:val>
          <c:smooth val="0"/>
        </c:ser>
        <c:axId val="2096242224"/>
        <c:axId val="733298532"/>
      </c:lineChart>
      <c:catAx>
        <c:axId val="209624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injected current (pA/pF)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298532"/>
      </c:catAx>
      <c:valAx>
        <c:axId val="733298532"/>
        <c:scaling>
          <c:orientation val="minMax"/>
          <c:max val="7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number of spikes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242224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69</xdr:row>
      <xdr:rowOff>66675</xdr:rowOff>
    </xdr:from>
    <xdr:ext cx="4229100" cy="3419475"/>
    <xdr:graphicFrame>
      <xdr:nvGraphicFramePr>
        <xdr:cNvPr id="9706147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8.0"/>
    <col customWidth="1" min="3" max="3" width="15.13"/>
    <col customWidth="1" min="4" max="4" width="12.0"/>
    <col customWidth="1" min="5" max="5" width="7.13"/>
    <col customWidth="1" min="6" max="6" width="9.0"/>
    <col customWidth="1" min="7" max="7" width="16.75"/>
    <col customWidth="1" min="8" max="10" width="7.63"/>
    <col customWidth="1" min="11" max="11" width="9.75"/>
    <col customWidth="1" min="12" max="12" width="7.63"/>
    <col customWidth="1" min="13" max="13" width="7.25"/>
    <col customWidth="1" min="14" max="14" width="21.13"/>
    <col customWidth="1" min="15" max="15" width="14.25"/>
    <col customWidth="1" min="16" max="16" width="10.38"/>
    <col customWidth="1" min="17" max="17" width="17.75"/>
    <col customWidth="1" min="18" max="18" width="20.38"/>
    <col customWidth="1" min="19" max="19" width="7.63"/>
    <col customWidth="1" min="20" max="20" width="14.0"/>
    <col customWidth="1" min="21" max="21" width="7.63"/>
    <col customWidth="1" min="22" max="22" width="16.5"/>
    <col customWidth="1" min="23" max="23" width="7.63"/>
    <col customWidth="1" min="24" max="24" width="9.88"/>
    <col customWidth="1" min="25" max="25" width="9.25"/>
    <col customWidth="1" min="26" max="26" width="37.13"/>
    <col customWidth="1" min="27" max="27" width="12.25"/>
    <col customWidth="1" min="28" max="28" width="11.25"/>
    <col customWidth="1" min="29" max="30" width="7.63"/>
    <col customWidth="1" min="31" max="31" width="10.63"/>
    <col customWidth="1" min="32" max="32" width="11.63"/>
    <col customWidth="1" min="33" max="37" width="7.63"/>
    <col customWidth="1" min="38" max="38" width="9.0"/>
    <col customWidth="1" min="39" max="39" width="7.63"/>
    <col customWidth="1" min="40" max="40" width="22.13"/>
    <col customWidth="1" min="41" max="41" width="13.88"/>
    <col customWidth="1" min="42" max="54" width="7.63"/>
  </cols>
  <sheetData>
    <row r="1">
      <c r="A1" s="1" t="s">
        <v>0</v>
      </c>
      <c r="B1" s="2"/>
      <c r="C1" s="2"/>
      <c r="D1" s="3"/>
      <c r="E1" s="3"/>
      <c r="F1" s="2"/>
      <c r="G1" s="4"/>
      <c r="K1" s="5"/>
      <c r="N1" s="6"/>
      <c r="Y1" s="5"/>
      <c r="Z1" s="6"/>
      <c r="AA1" s="7"/>
      <c r="AN1" s="5"/>
    </row>
    <row r="2">
      <c r="A2" s="8"/>
      <c r="B2" s="8"/>
      <c r="C2" s="8"/>
      <c r="D2" s="9"/>
      <c r="F2" s="7"/>
      <c r="G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Y2" s="5"/>
      <c r="Z2" s="6"/>
      <c r="AA2" s="7"/>
      <c r="AN2" s="5"/>
    </row>
    <row r="3">
      <c r="A3" s="8"/>
      <c r="B3" s="8"/>
      <c r="C3" s="8"/>
      <c r="D3" s="9"/>
      <c r="E3" s="5"/>
      <c r="F3" s="7"/>
      <c r="G3" s="10" t="s">
        <v>1</v>
      </c>
      <c r="H3" s="11"/>
      <c r="I3" s="11"/>
      <c r="J3" s="12"/>
      <c r="K3" s="11"/>
      <c r="L3" s="11"/>
      <c r="M3" s="5"/>
      <c r="N3" s="13" t="s">
        <v>2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5"/>
      <c r="Z3" s="15" t="s">
        <v>3</v>
      </c>
      <c r="AA3" s="16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8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>
      <c r="A4" s="19" t="s">
        <v>4</v>
      </c>
      <c r="B4" s="19" t="s">
        <v>5</v>
      </c>
      <c r="C4" s="19" t="s">
        <v>6</v>
      </c>
      <c r="D4" s="20" t="s">
        <v>7</v>
      </c>
      <c r="E4" s="20"/>
      <c r="F4" s="19" t="s">
        <v>8</v>
      </c>
      <c r="G4" s="21" t="s">
        <v>9</v>
      </c>
      <c r="H4" s="22" t="s">
        <v>10</v>
      </c>
      <c r="I4" s="22" t="s">
        <v>11</v>
      </c>
      <c r="J4" s="22" t="s">
        <v>12</v>
      </c>
      <c r="K4" s="22" t="s">
        <v>13</v>
      </c>
      <c r="L4" s="22" t="s">
        <v>14</v>
      </c>
      <c r="M4" s="20"/>
      <c r="N4" s="21" t="s">
        <v>9</v>
      </c>
      <c r="O4" s="20" t="s">
        <v>15</v>
      </c>
      <c r="P4" s="20" t="s">
        <v>16</v>
      </c>
      <c r="Q4" s="20" t="s">
        <v>17</v>
      </c>
      <c r="R4" s="22" t="s">
        <v>18</v>
      </c>
      <c r="S4" s="22" t="s">
        <v>19</v>
      </c>
      <c r="T4" s="22" t="s">
        <v>20</v>
      </c>
      <c r="U4" s="22" t="s">
        <v>21</v>
      </c>
      <c r="V4" s="22" t="s">
        <v>22</v>
      </c>
      <c r="W4" s="20" t="s">
        <v>23</v>
      </c>
      <c r="X4" s="22" t="s">
        <v>24</v>
      </c>
      <c r="Y4" s="20"/>
      <c r="Z4" s="21" t="s">
        <v>9</v>
      </c>
      <c r="AA4" s="19" t="s">
        <v>25</v>
      </c>
      <c r="AB4" s="20" t="s">
        <v>26</v>
      </c>
      <c r="AC4" s="22" t="s">
        <v>27</v>
      </c>
      <c r="AD4" s="22" t="s">
        <v>28</v>
      </c>
      <c r="AE4" s="22" t="s">
        <v>29</v>
      </c>
      <c r="AF4" s="22" t="s">
        <v>30</v>
      </c>
      <c r="AG4" s="22" t="s">
        <v>20</v>
      </c>
      <c r="AH4" s="20" t="s">
        <v>23</v>
      </c>
      <c r="AI4" s="22" t="s">
        <v>22</v>
      </c>
      <c r="AJ4" s="22" t="s">
        <v>31</v>
      </c>
      <c r="AK4" s="22" t="s">
        <v>32</v>
      </c>
      <c r="AL4" s="20" t="s">
        <v>33</v>
      </c>
      <c r="AM4" s="20" t="s">
        <v>34</v>
      </c>
      <c r="AN4" s="20" t="s">
        <v>35</v>
      </c>
      <c r="AO4" s="23" t="s">
        <v>36</v>
      </c>
      <c r="AP4" s="20"/>
    </row>
    <row r="5">
      <c r="A5" s="24">
        <v>42928.0</v>
      </c>
      <c r="B5" s="7" t="s">
        <v>37</v>
      </c>
      <c r="C5" s="7" t="s">
        <v>38</v>
      </c>
      <c r="D5" s="25" t="s">
        <v>39</v>
      </c>
      <c r="E5" s="26"/>
      <c r="F5" s="7">
        <v>-57.0</v>
      </c>
      <c r="G5" s="6">
        <v>1.7712008E7</v>
      </c>
      <c r="H5" s="5">
        <v>-0.0018</v>
      </c>
      <c r="I5" s="5">
        <v>19.9849</v>
      </c>
      <c r="J5" s="27">
        <v>323.9387</v>
      </c>
      <c r="K5" s="5"/>
      <c r="L5" s="5">
        <v>46.38846363636364</v>
      </c>
      <c r="M5" s="5"/>
      <c r="N5" s="6">
        <v>1.7712009E7</v>
      </c>
      <c r="O5" s="5">
        <v>22.0</v>
      </c>
      <c r="P5" s="5">
        <v>105.0</v>
      </c>
      <c r="Q5" s="27">
        <f t="shared" ref="Q5:Q10" si="1">P5/L5</f>
        <v>2.263493804</v>
      </c>
      <c r="R5" s="5">
        <v>-60.8</v>
      </c>
      <c r="S5" s="5">
        <v>-42.1</v>
      </c>
      <c r="T5" s="5">
        <v>25.9</v>
      </c>
      <c r="U5" s="5">
        <v>68.0</v>
      </c>
      <c r="V5" s="26">
        <v>0.8</v>
      </c>
      <c r="W5" s="5">
        <v>228.9</v>
      </c>
      <c r="X5" s="5">
        <v>27.099999999999998</v>
      </c>
      <c r="Y5" s="5"/>
      <c r="Z5" s="6">
        <v>1.7712011E7</v>
      </c>
      <c r="AA5" s="7">
        <v>5.0</v>
      </c>
      <c r="AB5" s="27">
        <f t="shared" ref="AB5:AB20" si="2">L5</f>
        <v>46.38846364</v>
      </c>
      <c r="AC5" s="28">
        <v>-59.7361</v>
      </c>
      <c r="AD5" s="28">
        <v>10.0</v>
      </c>
      <c r="AE5" s="29">
        <f t="shared" ref="AE5:AE20" si="3">AD5/AB5</f>
        <v>0.2155708384</v>
      </c>
      <c r="AF5" s="28">
        <v>-40.2527</v>
      </c>
      <c r="AG5" s="28">
        <v>25.9399</v>
      </c>
      <c r="AH5" s="28">
        <v>176.0864</v>
      </c>
      <c r="AI5" s="28">
        <v>1.0</v>
      </c>
      <c r="AJ5" s="28">
        <v>-56.6406</v>
      </c>
      <c r="AK5" s="28">
        <v>16.3879</v>
      </c>
      <c r="AL5" s="28">
        <v>28.0</v>
      </c>
      <c r="AM5" s="28">
        <v>0.1973</v>
      </c>
      <c r="AN5" s="29">
        <f t="shared" ref="AN5:AN11" si="4">AO5-112.94</f>
        <v>320.51</v>
      </c>
      <c r="AO5" s="29">
        <v>433.45</v>
      </c>
      <c r="AP5" s="5"/>
    </row>
    <row r="6">
      <c r="A6" s="30">
        <v>42928.0</v>
      </c>
      <c r="B6" s="7" t="s">
        <v>40</v>
      </c>
      <c r="C6" s="7" t="s">
        <v>38</v>
      </c>
      <c r="D6" s="25" t="s">
        <v>39</v>
      </c>
      <c r="E6" s="31"/>
      <c r="F6" s="7">
        <v>-59.0</v>
      </c>
      <c r="G6" s="6">
        <v>1.7712041E7</v>
      </c>
      <c r="H6">
        <v>-77.6169</v>
      </c>
      <c r="I6">
        <v>9.8121</v>
      </c>
      <c r="J6" s="32">
        <v>97.6859</v>
      </c>
      <c r="K6" s="5"/>
      <c r="L6">
        <v>99.179025</v>
      </c>
      <c r="N6" s="6">
        <v>1.7712042E7</v>
      </c>
      <c r="O6" s="5">
        <v>32.0</v>
      </c>
      <c r="P6" s="5">
        <v>312.0</v>
      </c>
      <c r="Q6" s="32">
        <f t="shared" si="1"/>
        <v>3.145826449</v>
      </c>
      <c r="R6" s="5">
        <v>-59.5</v>
      </c>
      <c r="S6" s="5">
        <v>-41.099999999999994</v>
      </c>
      <c r="T6" s="5">
        <v>32.800000000000004</v>
      </c>
      <c r="U6" s="5">
        <v>73.89999999999999</v>
      </c>
      <c r="V6" s="5">
        <v>0.4</v>
      </c>
      <c r="W6" s="5">
        <v>358.3</v>
      </c>
      <c r="X6" s="5">
        <v>37.1</v>
      </c>
      <c r="Y6" s="5"/>
      <c r="Z6" s="6" t="s">
        <v>41</v>
      </c>
      <c r="AA6" s="7">
        <v>5.0</v>
      </c>
      <c r="AB6" s="32">
        <f t="shared" si="2"/>
        <v>99.179025</v>
      </c>
      <c r="AC6" s="28">
        <v>-59.3949</v>
      </c>
      <c r="AD6" s="28">
        <v>60.0</v>
      </c>
      <c r="AE6" s="29">
        <f t="shared" si="3"/>
        <v>0.6049666247</v>
      </c>
      <c r="AF6" s="28">
        <v>-39.6423</v>
      </c>
      <c r="AG6" s="28">
        <v>27.4963</v>
      </c>
      <c r="AH6" s="28">
        <v>232.2388</v>
      </c>
      <c r="AI6" s="28">
        <v>0.6</v>
      </c>
      <c r="AJ6" s="28">
        <v>-58.6548</v>
      </c>
      <c r="AK6" s="28">
        <v>19.0125</v>
      </c>
      <c r="AL6" s="28">
        <v>33.0</v>
      </c>
      <c r="AM6" s="28">
        <v>0.2806</v>
      </c>
      <c r="AN6" s="29">
        <f t="shared" si="4"/>
        <v>398.96</v>
      </c>
      <c r="AO6" s="29">
        <v>511.9</v>
      </c>
      <c r="AP6" s="5"/>
    </row>
    <row r="7">
      <c r="A7" s="30">
        <v>42928.0</v>
      </c>
      <c r="B7" s="7" t="s">
        <v>42</v>
      </c>
      <c r="C7" s="7" t="s">
        <v>38</v>
      </c>
      <c r="D7" s="25" t="s">
        <v>39</v>
      </c>
      <c r="E7" s="31"/>
      <c r="F7" s="7">
        <v>-54.0</v>
      </c>
      <c r="G7" s="6">
        <v>1.7712061E7</v>
      </c>
      <c r="H7" s="5">
        <v>-1.2109</v>
      </c>
      <c r="I7" s="5">
        <v>15.9933</v>
      </c>
      <c r="J7" s="27">
        <v>540.7156</v>
      </c>
      <c r="K7" s="5"/>
      <c r="L7" s="5">
        <v>33.63721666666667</v>
      </c>
      <c r="N7" s="6">
        <v>1.7712066E7</v>
      </c>
      <c r="O7" s="5">
        <v>16.0</v>
      </c>
      <c r="P7" s="5">
        <v>75.0</v>
      </c>
      <c r="Q7" s="27">
        <f t="shared" si="1"/>
        <v>2.229673184</v>
      </c>
      <c r="R7" s="5">
        <v>-61.00000000000001</v>
      </c>
      <c r="S7" s="5">
        <v>-44.0</v>
      </c>
      <c r="T7" s="5">
        <v>20.0</v>
      </c>
      <c r="U7" s="5">
        <v>64.0</v>
      </c>
      <c r="V7" s="5">
        <v>1.0</v>
      </c>
      <c r="W7" s="5">
        <v>175.00000000000003</v>
      </c>
      <c r="X7" s="5">
        <v>34.0</v>
      </c>
      <c r="Y7" s="5"/>
      <c r="Z7" s="6" t="s">
        <v>43</v>
      </c>
      <c r="AA7" s="7">
        <v>5.0</v>
      </c>
      <c r="AB7" s="27">
        <f t="shared" si="2"/>
        <v>33.63721667</v>
      </c>
      <c r="AC7" s="28">
        <v>-59.0382</v>
      </c>
      <c r="AD7" s="28">
        <v>5.0</v>
      </c>
      <c r="AE7" s="29">
        <f t="shared" si="3"/>
        <v>0.148644879</v>
      </c>
      <c r="AF7" s="28">
        <v>-42.3584</v>
      </c>
      <c r="AG7" s="28">
        <v>22.1558</v>
      </c>
      <c r="AH7" s="28">
        <v>136.4136</v>
      </c>
      <c r="AI7" s="28">
        <v>0.8</v>
      </c>
      <c r="AJ7" s="28">
        <v>-57.5256</v>
      </c>
      <c r="AK7" s="28">
        <v>15.1672</v>
      </c>
      <c r="AL7" s="28">
        <v>69.0</v>
      </c>
      <c r="AM7" s="28">
        <v>0.3502</v>
      </c>
      <c r="AN7" s="29">
        <f t="shared" si="4"/>
        <v>407.51</v>
      </c>
      <c r="AO7" s="29">
        <v>520.45</v>
      </c>
      <c r="AP7" s="5"/>
    </row>
    <row r="8">
      <c r="A8" s="30">
        <v>42928.0</v>
      </c>
      <c r="B8" s="7" t="s">
        <v>44</v>
      </c>
      <c r="C8" s="7" t="s">
        <v>38</v>
      </c>
      <c r="D8" s="25" t="s">
        <v>39</v>
      </c>
      <c r="E8" s="26"/>
      <c r="F8" s="7">
        <v>-58.0</v>
      </c>
      <c r="G8" s="6">
        <v>1.7712072E7</v>
      </c>
      <c r="H8" s="5">
        <v>-46.3237</v>
      </c>
      <c r="I8" s="5">
        <v>9.4834</v>
      </c>
      <c r="J8" s="27">
        <v>108.3309</v>
      </c>
      <c r="K8" s="5"/>
      <c r="L8" s="5">
        <v>96.68031818181821</v>
      </c>
      <c r="N8" s="6">
        <v>1.7712077E7</v>
      </c>
      <c r="O8" s="5">
        <v>38.0</v>
      </c>
      <c r="P8" s="5">
        <v>372.0</v>
      </c>
      <c r="Q8" s="27">
        <f t="shared" si="1"/>
        <v>3.847732475</v>
      </c>
      <c r="R8" s="5">
        <v>-60.400000000000006</v>
      </c>
      <c r="S8" s="5">
        <v>-39.699999999999996</v>
      </c>
      <c r="T8" s="5">
        <v>31.3</v>
      </c>
      <c r="U8" s="5">
        <v>71.0</v>
      </c>
      <c r="V8" s="5">
        <v>0.5</v>
      </c>
      <c r="W8" s="5">
        <v>350.6</v>
      </c>
      <c r="X8" s="5">
        <v>35.5</v>
      </c>
      <c r="Y8" s="5"/>
      <c r="Z8" s="6" t="s">
        <v>45</v>
      </c>
      <c r="AA8" s="7">
        <v>5.0</v>
      </c>
      <c r="AB8" s="27">
        <f t="shared" si="2"/>
        <v>96.68031818</v>
      </c>
      <c r="AC8" s="28">
        <v>-60.0621</v>
      </c>
      <c r="AD8" s="28">
        <v>35.0</v>
      </c>
      <c r="AE8" s="29">
        <f t="shared" si="3"/>
        <v>0.3620178404</v>
      </c>
      <c r="AF8" s="28">
        <v>-36.2854</v>
      </c>
      <c r="AG8" s="28">
        <v>29.4495</v>
      </c>
      <c r="AH8" s="28">
        <v>240.7837</v>
      </c>
      <c r="AI8" s="28">
        <v>0.7</v>
      </c>
      <c r="AJ8" s="28">
        <v>-51.9104</v>
      </c>
      <c r="AK8" s="28">
        <v>15.625</v>
      </c>
      <c r="AL8" s="28">
        <v>23.0</v>
      </c>
      <c r="AM8" s="28">
        <v>0.2819</v>
      </c>
      <c r="AN8" s="29">
        <f t="shared" si="4"/>
        <v>472.06</v>
      </c>
      <c r="AO8" s="29">
        <v>585.0</v>
      </c>
      <c r="AP8" s="5"/>
    </row>
    <row r="9">
      <c r="A9" s="30">
        <v>42928.0</v>
      </c>
      <c r="B9" s="7" t="s">
        <v>46</v>
      </c>
      <c r="C9" s="7" t="s">
        <v>38</v>
      </c>
      <c r="D9" s="25" t="s">
        <v>39</v>
      </c>
      <c r="E9" s="31"/>
      <c r="F9" s="7">
        <v>-56.0</v>
      </c>
      <c r="G9" s="6">
        <v>1.7712093E7</v>
      </c>
      <c r="H9">
        <v>-70.5935</v>
      </c>
      <c r="I9">
        <v>15.762</v>
      </c>
      <c r="J9" s="32">
        <v>232.5848</v>
      </c>
      <c r="K9" s="5"/>
      <c r="L9">
        <v>47.91217058823529</v>
      </c>
      <c r="N9" s="6">
        <v>1.7712102E7</v>
      </c>
      <c r="O9" s="5">
        <v>19.0</v>
      </c>
      <c r="P9" s="5">
        <v>90.0</v>
      </c>
      <c r="Q9" s="27">
        <f t="shared" si="1"/>
        <v>1.878437126</v>
      </c>
      <c r="R9" s="5">
        <v>-58.3</v>
      </c>
      <c r="S9" s="5">
        <v>-43.3</v>
      </c>
      <c r="T9" s="5">
        <v>22.4</v>
      </c>
      <c r="U9" s="5">
        <v>65.69999999999999</v>
      </c>
      <c r="V9" s="5">
        <v>0.5</v>
      </c>
      <c r="W9" s="5">
        <v>288.7</v>
      </c>
      <c r="X9" s="5">
        <v>32.4</v>
      </c>
      <c r="Y9" s="5"/>
      <c r="Z9" s="6" t="s">
        <v>47</v>
      </c>
      <c r="AA9" s="7">
        <v>5.0</v>
      </c>
      <c r="AB9" s="27">
        <f t="shared" si="2"/>
        <v>47.91217059</v>
      </c>
      <c r="AC9" s="28">
        <v>-60.1918</v>
      </c>
      <c r="AD9" s="28">
        <v>10.0</v>
      </c>
      <c r="AE9" s="29">
        <f t="shared" si="3"/>
        <v>0.2087152362</v>
      </c>
      <c r="AF9" s="28">
        <v>-40.863</v>
      </c>
      <c r="AG9" s="28">
        <v>26.3062</v>
      </c>
      <c r="AH9" s="28">
        <v>234.0698</v>
      </c>
      <c r="AI9" s="28">
        <v>0.65</v>
      </c>
      <c r="AJ9" s="28">
        <v>-60.0891</v>
      </c>
      <c r="AK9" s="28">
        <v>19.2261</v>
      </c>
      <c r="AL9" s="28">
        <v>56.0</v>
      </c>
      <c r="AM9" s="28">
        <v>0.1598</v>
      </c>
      <c r="AN9" s="29">
        <f t="shared" si="4"/>
        <v>339.86</v>
      </c>
      <c r="AO9" s="29">
        <v>452.8</v>
      </c>
      <c r="AP9" s="5"/>
    </row>
    <row r="10">
      <c r="A10" s="30">
        <v>43017.0</v>
      </c>
      <c r="B10" s="7" t="s">
        <v>44</v>
      </c>
      <c r="C10" s="7" t="s">
        <v>38</v>
      </c>
      <c r="D10" s="25" t="s">
        <v>39</v>
      </c>
      <c r="E10" s="31"/>
      <c r="F10" s="7">
        <v>-54.0</v>
      </c>
      <c r="G10" s="6" t="s">
        <v>48</v>
      </c>
      <c r="H10" s="5">
        <v>-59.5119</v>
      </c>
      <c r="I10" s="5">
        <v>10.7266</v>
      </c>
      <c r="J10" s="27">
        <v>96.5844</v>
      </c>
      <c r="K10" s="5"/>
      <c r="L10" s="5">
        <v>33.92261666666667</v>
      </c>
      <c r="M10" s="5"/>
      <c r="N10" s="6" t="s">
        <v>49</v>
      </c>
      <c r="O10" s="5">
        <v>24.0</v>
      </c>
      <c r="P10" s="5">
        <v>231.0</v>
      </c>
      <c r="Q10" s="27">
        <f t="shared" si="1"/>
        <v>6.8096162</v>
      </c>
      <c r="R10" s="5">
        <v>-59.1</v>
      </c>
      <c r="S10" s="5">
        <v>-40.0</v>
      </c>
      <c r="T10" s="5">
        <v>30.200000000000003</v>
      </c>
      <c r="U10" s="5">
        <v>70.2</v>
      </c>
      <c r="V10" s="5">
        <v>0.5</v>
      </c>
      <c r="W10" s="5">
        <v>360.70000000000005</v>
      </c>
      <c r="X10" s="5">
        <v>38.5</v>
      </c>
      <c r="Y10" s="5"/>
      <c r="Z10" s="6" t="s">
        <v>50</v>
      </c>
      <c r="AA10" s="7">
        <v>5.0</v>
      </c>
      <c r="AB10" s="27">
        <f t="shared" si="2"/>
        <v>33.92261667</v>
      </c>
      <c r="AC10" s="28">
        <v>-59.8904</v>
      </c>
      <c r="AD10" s="28">
        <v>126.0</v>
      </c>
      <c r="AE10" s="29">
        <f t="shared" si="3"/>
        <v>3.714336109</v>
      </c>
      <c r="AF10" s="28">
        <v>-37.8418</v>
      </c>
      <c r="AG10" s="28">
        <v>27.5574</v>
      </c>
      <c r="AH10" s="28">
        <v>245.9717</v>
      </c>
      <c r="AI10" s="28">
        <v>0.6</v>
      </c>
      <c r="AJ10" s="28">
        <v>-48.584</v>
      </c>
      <c r="AK10" s="28">
        <v>10.7422</v>
      </c>
      <c r="AL10" s="28">
        <v>71.0</v>
      </c>
      <c r="AM10" s="28">
        <v>0.751</v>
      </c>
      <c r="AN10" s="29">
        <f t="shared" si="4"/>
        <v>427.159</v>
      </c>
      <c r="AO10" s="29">
        <v>540.099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>
      <c r="A11" s="30">
        <v>43017.0</v>
      </c>
      <c r="B11" s="7" t="s">
        <v>51</v>
      </c>
      <c r="C11" s="7" t="s">
        <v>38</v>
      </c>
      <c r="D11" s="25" t="s">
        <v>39</v>
      </c>
      <c r="E11" s="26"/>
      <c r="F11" s="7">
        <v>-72.0</v>
      </c>
      <c r="G11" s="6" t="s">
        <v>52</v>
      </c>
      <c r="H11" s="5">
        <v>-30.7522</v>
      </c>
      <c r="I11" s="5">
        <v>18.4791</v>
      </c>
      <c r="J11" s="27">
        <v>127.8969</v>
      </c>
      <c r="K11" s="5"/>
      <c r="L11" s="5">
        <v>70.1485</v>
      </c>
      <c r="M11" s="5"/>
      <c r="N11" s="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 t="s">
        <v>53</v>
      </c>
      <c r="AA11" s="7">
        <v>10.0</v>
      </c>
      <c r="AB11" s="27">
        <f t="shared" si="2"/>
        <v>70.1485</v>
      </c>
      <c r="AC11" s="28">
        <v>-61.5324</v>
      </c>
      <c r="AD11" s="28">
        <v>221.0</v>
      </c>
      <c r="AE11" s="29">
        <f t="shared" si="3"/>
        <v>3.150459383</v>
      </c>
      <c r="AF11" s="28">
        <v>-30.5786</v>
      </c>
      <c r="AG11" s="28">
        <v>11.4746</v>
      </c>
      <c r="AH11" s="28">
        <v>98.5718</v>
      </c>
      <c r="AI11" s="28">
        <v>0.75</v>
      </c>
      <c r="AJ11" s="28">
        <v>-61.1572</v>
      </c>
      <c r="AK11" s="28">
        <v>30.5786</v>
      </c>
      <c r="AL11" s="28">
        <v>20.0</v>
      </c>
      <c r="AM11" s="28">
        <v>0.1424</v>
      </c>
      <c r="AN11" s="29">
        <f t="shared" si="4"/>
        <v>499.8585229</v>
      </c>
      <c r="AO11" s="29">
        <v>612.798522949218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>
      <c r="A12" s="33">
        <v>43353.0</v>
      </c>
      <c r="B12" s="7" t="s">
        <v>54</v>
      </c>
      <c r="C12" s="7" t="s">
        <v>55</v>
      </c>
      <c r="D12" s="25" t="s">
        <v>39</v>
      </c>
      <c r="E12" s="31"/>
      <c r="F12" s="34" t="s">
        <v>56</v>
      </c>
      <c r="G12" s="5" t="s">
        <v>57</v>
      </c>
      <c r="H12" s="5">
        <v>-74.117</v>
      </c>
      <c r="I12" s="5">
        <v>17.812</v>
      </c>
      <c r="J12" s="27">
        <v>93.335</v>
      </c>
      <c r="K12" s="5">
        <v>89.66700000000002</v>
      </c>
      <c r="L12" s="5">
        <v>59.64516666666666</v>
      </c>
      <c r="M12" s="35"/>
      <c r="N12" s="5" t="s">
        <v>58</v>
      </c>
      <c r="O12" s="5">
        <v>2.0</v>
      </c>
      <c r="P12" s="5">
        <v>170.0</v>
      </c>
      <c r="Q12" s="27">
        <f t="shared" ref="Q12:Q35" si="5">P12/L12</f>
        <v>2.850189035</v>
      </c>
      <c r="R12" s="5">
        <v>-59.5796569056283</v>
      </c>
      <c r="S12" s="5">
        <v>-42.7246103299695</v>
      </c>
      <c r="T12" s="5">
        <v>22.8576665265337</v>
      </c>
      <c r="U12" s="5">
        <v>65.5822768565031</v>
      </c>
      <c r="V12" s="5">
        <v>0.48</v>
      </c>
      <c r="W12" s="5">
        <v>322.265632203198</v>
      </c>
      <c r="X12" s="5">
        <v>30.3788661807844</v>
      </c>
      <c r="Y12" s="35"/>
      <c r="Z12" s="5" t="s">
        <v>59</v>
      </c>
      <c r="AA12" s="7">
        <v>10.0</v>
      </c>
      <c r="AB12" s="27">
        <f t="shared" si="2"/>
        <v>59.64516667</v>
      </c>
      <c r="AC12" s="36">
        <v>-62.9066939109572</v>
      </c>
      <c r="AD12" s="36">
        <v>60.0</v>
      </c>
      <c r="AE12" s="29">
        <f t="shared" si="3"/>
        <v>1.005949071</v>
      </c>
      <c r="AF12" s="36">
        <v>-42.5720224359338</v>
      </c>
      <c r="AG12" s="5">
        <v>20.6909184312281</v>
      </c>
      <c r="AH12" s="5">
        <v>240.173345212043</v>
      </c>
      <c r="AI12" s="5">
        <v>0.599999999999934</v>
      </c>
      <c r="AJ12" s="5">
        <v>-58.8989270977436</v>
      </c>
      <c r="AK12" s="5">
        <v>16.3269046618098</v>
      </c>
      <c r="AL12" s="5">
        <v>80.0</v>
      </c>
      <c r="AM12" s="5">
        <v>0.2139</v>
      </c>
      <c r="AN12" s="5">
        <v>414.0</v>
      </c>
      <c r="AO12" s="37">
        <f>AN12+112.94</f>
        <v>526.94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>
      <c r="A13" s="33">
        <v>43353.0</v>
      </c>
      <c r="B13" s="7" t="s">
        <v>60</v>
      </c>
      <c r="C13" s="7" t="s">
        <v>55</v>
      </c>
      <c r="D13" s="25" t="s">
        <v>39</v>
      </c>
      <c r="E13" s="31"/>
      <c r="F13" s="34" t="s">
        <v>56</v>
      </c>
      <c r="G13" s="5" t="s">
        <v>61</v>
      </c>
      <c r="H13" s="5">
        <v>-30.889</v>
      </c>
      <c r="I13" s="5">
        <v>18.312</v>
      </c>
      <c r="J13" s="27">
        <v>231.022</v>
      </c>
      <c r="K13" s="5">
        <v>234.7515</v>
      </c>
      <c r="L13" s="5">
        <v>50.54083333333333</v>
      </c>
      <c r="M13" s="35"/>
      <c r="N13" s="5" t="s">
        <v>62</v>
      </c>
      <c r="O13" s="5">
        <v>2.0</v>
      </c>
      <c r="P13" s="5">
        <v>170.0</v>
      </c>
      <c r="Q13" s="27">
        <f t="shared" si="5"/>
        <v>3.363616877</v>
      </c>
      <c r="R13" s="5">
        <v>-60.4811618336309</v>
      </c>
      <c r="S13" s="5">
        <v>-40.5273446558567</v>
      </c>
      <c r="T13" s="5">
        <v>21.3012700073705</v>
      </c>
      <c r="U13" s="5">
        <v>61.8286146632272</v>
      </c>
      <c r="V13" s="5">
        <v>0.474999999999998</v>
      </c>
      <c r="W13" s="5">
        <v>287.47559236308</v>
      </c>
      <c r="X13" s="5">
        <v>29.510940975253</v>
      </c>
      <c r="Y13" s="35"/>
      <c r="Z13" s="27" t="s">
        <v>63</v>
      </c>
      <c r="AA13" s="7">
        <v>10.0</v>
      </c>
      <c r="AB13" s="27">
        <f t="shared" si="2"/>
        <v>50.54083333</v>
      </c>
      <c r="AC13" s="5">
        <v>-60.4453291098485</v>
      </c>
      <c r="AD13" s="5">
        <v>10.0</v>
      </c>
      <c r="AE13" s="29">
        <f t="shared" si="3"/>
        <v>0.1978598163</v>
      </c>
      <c r="AF13" s="5">
        <v>-40.8020028651208</v>
      </c>
      <c r="AG13" s="5">
        <v>-40.0085458161357</v>
      </c>
      <c r="AH13" s="5">
        <v>2.13623051649847</v>
      </c>
      <c r="AI13" s="5">
        <v>1.24999999999997</v>
      </c>
      <c r="AJ13" s="5">
        <v>-41.6259774929131</v>
      </c>
      <c r="AK13" s="5">
        <v>0.823974627792268</v>
      </c>
      <c r="AL13" s="5">
        <v>122.0</v>
      </c>
      <c r="AM13" s="28" t="s">
        <v>56</v>
      </c>
      <c r="AN13" s="28" t="s">
        <v>56</v>
      </c>
      <c r="AO13" s="29" t="s">
        <v>56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>
      <c r="A14" s="33">
        <v>43353.0</v>
      </c>
      <c r="B14" s="7" t="s">
        <v>64</v>
      </c>
      <c r="C14" s="7" t="s">
        <v>55</v>
      </c>
      <c r="D14" s="25" t="s">
        <v>39</v>
      </c>
      <c r="E14" s="26"/>
      <c r="F14" s="7">
        <v>-50.003</v>
      </c>
      <c r="G14" s="26" t="s">
        <v>65</v>
      </c>
      <c r="H14" s="5">
        <v>-86.924</v>
      </c>
      <c r="I14" s="5">
        <v>9.899</v>
      </c>
      <c r="J14" s="27">
        <v>71.877</v>
      </c>
      <c r="K14" s="5">
        <v>63.15244444444444</v>
      </c>
      <c r="L14" s="5">
        <v>69.98777777777778</v>
      </c>
      <c r="M14" s="35"/>
      <c r="N14" s="5" t="s">
        <v>66</v>
      </c>
      <c r="O14" s="5">
        <v>9.0</v>
      </c>
      <c r="P14" s="5">
        <v>340.0</v>
      </c>
      <c r="Q14" s="27">
        <f t="shared" si="5"/>
        <v>4.857991078</v>
      </c>
      <c r="R14" s="5">
        <v>-58.6445513408571</v>
      </c>
      <c r="S14" s="5">
        <v>-41.9921884385985</v>
      </c>
      <c r="T14" s="5">
        <v>30.3649909130854</v>
      </c>
      <c r="U14" s="5">
        <v>72.357179351684</v>
      </c>
      <c r="V14" s="5">
        <v>0.33</v>
      </c>
      <c r="W14" s="5">
        <v>391.235360307292</v>
      </c>
      <c r="X14" s="5">
        <v>24.3012415776211</v>
      </c>
      <c r="Y14" s="35"/>
      <c r="Z14" s="27" t="s">
        <v>67</v>
      </c>
      <c r="AA14" s="7">
        <v>10.0</v>
      </c>
      <c r="AB14" s="27">
        <f t="shared" si="2"/>
        <v>69.98777778</v>
      </c>
      <c r="AC14" s="5">
        <v>-58.9557660882728</v>
      </c>
      <c r="AD14" s="5">
        <v>180.0</v>
      </c>
      <c r="AE14" s="29">
        <f t="shared" si="3"/>
        <v>2.571877629</v>
      </c>
      <c r="AF14" s="5">
        <v>-39.7644051856787</v>
      </c>
      <c r="AG14" s="5">
        <v>25.8789068284386</v>
      </c>
      <c r="AH14" s="5">
        <v>265.808111410024</v>
      </c>
      <c r="AI14" s="5">
        <v>0.400000000000011</v>
      </c>
      <c r="AJ14" s="5">
        <v>-58.1359876275656</v>
      </c>
      <c r="AK14" s="5">
        <v>18.3715824418869</v>
      </c>
      <c r="AL14" s="5">
        <v>59.0</v>
      </c>
      <c r="AM14" s="5">
        <v>1.0933</v>
      </c>
      <c r="AN14" s="5">
        <v>297.1</v>
      </c>
      <c r="AO14" s="37">
        <f t="shared" ref="AO14:AO20" si="6">AN14+112.94</f>
        <v>410.04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>
      <c r="A15" s="33">
        <v>43353.0</v>
      </c>
      <c r="B15" s="7" t="s">
        <v>68</v>
      </c>
      <c r="C15" s="7" t="s">
        <v>55</v>
      </c>
      <c r="D15" s="25" t="s">
        <v>39</v>
      </c>
      <c r="E15" s="31"/>
      <c r="F15" s="34" t="s">
        <v>56</v>
      </c>
      <c r="G15" s="5" t="s">
        <v>69</v>
      </c>
      <c r="H15" s="5">
        <v>-28.919</v>
      </c>
      <c r="I15" s="5">
        <v>13.738</v>
      </c>
      <c r="J15" s="27">
        <v>139.062</v>
      </c>
      <c r="K15" s="5">
        <v>127.17142857142858</v>
      </c>
      <c r="L15" s="5">
        <v>75.82642857142856</v>
      </c>
      <c r="M15" s="35"/>
      <c r="N15" s="5" t="s">
        <v>70</v>
      </c>
      <c r="O15" s="5">
        <v>3.0</v>
      </c>
      <c r="P15" s="5">
        <v>180.0</v>
      </c>
      <c r="Q15" s="27">
        <f t="shared" si="5"/>
        <v>2.373842516</v>
      </c>
      <c r="R15" s="5">
        <v>-58.7461827033043</v>
      </c>
      <c r="S15" s="5">
        <v>-41.8701181233701</v>
      </c>
      <c r="T15" s="5">
        <v>29.3579108124504</v>
      </c>
      <c r="U15" s="5">
        <v>71.2280289358205</v>
      </c>
      <c r="V15" s="5">
        <v>0.5</v>
      </c>
      <c r="W15" s="5">
        <v>321.044929050913</v>
      </c>
      <c r="X15" s="5">
        <v>35.3030805602074</v>
      </c>
      <c r="Y15" s="35"/>
      <c r="Z15" s="27" t="s">
        <v>71</v>
      </c>
      <c r="AA15" s="7">
        <v>10.0</v>
      </c>
      <c r="AB15" s="27">
        <f t="shared" si="2"/>
        <v>75.82642857</v>
      </c>
      <c r="AC15" s="5">
        <v>-61.8587965486682</v>
      </c>
      <c r="AD15" s="5">
        <v>60.0</v>
      </c>
      <c r="AE15" s="29">
        <f t="shared" si="3"/>
        <v>0.7912808388</v>
      </c>
      <c r="AF15" s="5">
        <v>-41.2292489684205</v>
      </c>
      <c r="AG15" s="5">
        <v>31.6162116441774</v>
      </c>
      <c r="AH15" s="5">
        <v>277.40479135673</v>
      </c>
      <c r="AI15" s="5">
        <v>0.599999999999934</v>
      </c>
      <c r="AJ15" s="5">
        <v>-56.1828625839098</v>
      </c>
      <c r="AK15" s="5">
        <v>14.9536136154893</v>
      </c>
      <c r="AL15" s="38">
        <v>109.0</v>
      </c>
      <c r="AM15" s="38">
        <v>0.2088</v>
      </c>
      <c r="AN15" s="5">
        <v>459.1</v>
      </c>
      <c r="AO15" s="37">
        <f t="shared" si="6"/>
        <v>572.04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>
      <c r="A16" s="39">
        <v>43353.0</v>
      </c>
      <c r="B16" s="7" t="s">
        <v>72</v>
      </c>
      <c r="C16" s="7" t="s">
        <v>55</v>
      </c>
      <c r="D16" s="25" t="s">
        <v>39</v>
      </c>
      <c r="E16" s="31"/>
      <c r="F16" s="7">
        <v>-50.9848</v>
      </c>
      <c r="G16" s="26" t="s">
        <v>73</v>
      </c>
      <c r="H16" s="5">
        <v>-87.687</v>
      </c>
      <c r="I16" s="5">
        <v>12.678</v>
      </c>
      <c r="J16" s="27">
        <v>72.092</v>
      </c>
      <c r="K16" s="5">
        <v>64.6114</v>
      </c>
      <c r="L16" s="5">
        <v>75.5472</v>
      </c>
      <c r="M16" s="35"/>
      <c r="N16" s="5" t="s">
        <v>74</v>
      </c>
      <c r="O16" s="5">
        <v>10.0</v>
      </c>
      <c r="P16" s="5">
        <v>450.0</v>
      </c>
      <c r="Q16" s="27">
        <f t="shared" si="5"/>
        <v>5.956541076</v>
      </c>
      <c r="R16" s="5">
        <v>-60.1089</v>
      </c>
      <c r="S16" s="5">
        <v>-38.3301</v>
      </c>
      <c r="T16" s="5">
        <v>27.7405</v>
      </c>
      <c r="U16" s="5">
        <v>66.0706</v>
      </c>
      <c r="V16" s="5">
        <v>0.395</v>
      </c>
      <c r="W16" s="5">
        <v>336.9141</v>
      </c>
      <c r="X16" s="5">
        <v>37.1254</v>
      </c>
      <c r="Y16" s="35"/>
      <c r="Z16" s="5" t="s">
        <v>75</v>
      </c>
      <c r="AA16" s="7">
        <v>10.0</v>
      </c>
      <c r="AB16" s="27">
        <f t="shared" si="2"/>
        <v>75.5472</v>
      </c>
      <c r="AC16" s="38">
        <v>-59.8551649120865</v>
      </c>
      <c r="AD16" s="38">
        <v>180.0</v>
      </c>
      <c r="AE16" s="29">
        <f t="shared" si="3"/>
        <v>2.382616431</v>
      </c>
      <c r="AF16" s="38">
        <v>-37.5061043539518</v>
      </c>
      <c r="AG16" s="38">
        <v>22.7050786324981</v>
      </c>
      <c r="AH16" s="38">
        <v>232.238774722191</v>
      </c>
      <c r="AI16" s="38">
        <v>0.5</v>
      </c>
      <c r="AJ16" s="38">
        <v>-50.8728038714708</v>
      </c>
      <c r="AK16" s="38">
        <v>13.366699517519</v>
      </c>
      <c r="AL16" s="36">
        <v>58.0</v>
      </c>
      <c r="AM16" s="38">
        <v>0.6155</v>
      </c>
      <c r="AN16" s="38">
        <v>354.45</v>
      </c>
      <c r="AO16" s="37">
        <f t="shared" si="6"/>
        <v>467.39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>
      <c r="A17" s="39">
        <v>43334.0</v>
      </c>
      <c r="B17" s="7" t="s">
        <v>72</v>
      </c>
      <c r="C17" s="7" t="s">
        <v>55</v>
      </c>
      <c r="D17" s="25" t="s">
        <v>39</v>
      </c>
      <c r="E17" s="26"/>
      <c r="F17" s="34" t="s">
        <v>56</v>
      </c>
      <c r="G17" s="6" t="s">
        <v>76</v>
      </c>
      <c r="H17" s="5">
        <v>-177.62</v>
      </c>
      <c r="I17" s="5">
        <v>8.072</v>
      </c>
      <c r="J17" s="27">
        <v>89.099</v>
      </c>
      <c r="K17" s="5">
        <v>87.8996</v>
      </c>
      <c r="L17" s="5">
        <v>88.22840000000001</v>
      </c>
      <c r="M17" s="35"/>
      <c r="N17" s="6" t="s">
        <v>77</v>
      </c>
      <c r="O17" s="5">
        <v>4.0</v>
      </c>
      <c r="P17" s="5">
        <v>540.0</v>
      </c>
      <c r="Q17" s="27">
        <f t="shared" si="5"/>
        <v>6.120478213</v>
      </c>
      <c r="R17" s="5">
        <v>-58.9306027795416</v>
      </c>
      <c r="S17" s="5">
        <v>-37.4755867751446</v>
      </c>
      <c r="T17" s="5">
        <v>25.451660725139</v>
      </c>
      <c r="U17" s="5">
        <v>62.9272475002836</v>
      </c>
      <c r="V17" s="5">
        <v>0.295</v>
      </c>
      <c r="W17" s="5">
        <v>364.685066745097</v>
      </c>
      <c r="X17" s="5">
        <v>38.9324464815484</v>
      </c>
      <c r="Y17" s="35"/>
      <c r="Z17" s="6" t="s">
        <v>78</v>
      </c>
      <c r="AA17" s="7">
        <v>10.0</v>
      </c>
      <c r="AB17" s="27">
        <f t="shared" si="2"/>
        <v>88.2284</v>
      </c>
      <c r="AC17" s="36">
        <v>-61.330872952883</v>
      </c>
      <c r="AD17" s="36">
        <v>150.0</v>
      </c>
      <c r="AE17" s="29">
        <f t="shared" si="3"/>
        <v>1.700132837</v>
      </c>
      <c r="AF17" s="36">
        <v>-35.8276375195601</v>
      </c>
      <c r="AG17" s="36">
        <v>21.2402348497562</v>
      </c>
      <c r="AH17" s="36">
        <v>235.900884179046</v>
      </c>
      <c r="AI17" s="36">
        <v>0.400000000000011</v>
      </c>
      <c r="AJ17" s="36">
        <v>-55.3894055349247</v>
      </c>
      <c r="AK17" s="36">
        <v>19.5617680153646</v>
      </c>
      <c r="AL17" s="5">
        <v>48.0</v>
      </c>
      <c r="AM17" s="36">
        <v>0.3218</v>
      </c>
      <c r="AN17" s="36">
        <v>323.35</v>
      </c>
      <c r="AO17" s="37">
        <f t="shared" si="6"/>
        <v>436.29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>
      <c r="A18" s="39">
        <v>43334.0</v>
      </c>
      <c r="B18" s="7" t="s">
        <v>68</v>
      </c>
      <c r="C18" s="7" t="s">
        <v>55</v>
      </c>
      <c r="D18" s="25" t="s">
        <v>39</v>
      </c>
      <c r="E18" s="31"/>
      <c r="F18" s="34" t="s">
        <v>56</v>
      </c>
      <c r="G18" s="6" t="s">
        <v>79</v>
      </c>
      <c r="H18" s="5">
        <v>-239.768</v>
      </c>
      <c r="I18" s="5">
        <v>7.303</v>
      </c>
      <c r="J18" s="27">
        <v>118.236</v>
      </c>
      <c r="K18" s="5">
        <v>118.04599999999999</v>
      </c>
      <c r="L18" s="5">
        <v>73.58350000000002</v>
      </c>
      <c r="M18" s="35"/>
      <c r="N18" s="6" t="s">
        <v>80</v>
      </c>
      <c r="O18" s="5">
        <v>14.0</v>
      </c>
      <c r="P18" s="5">
        <v>340.0</v>
      </c>
      <c r="Q18" s="27">
        <f t="shared" si="5"/>
        <v>4.620601086</v>
      </c>
      <c r="R18" s="5">
        <v>-60.8181228537822</v>
      </c>
      <c r="S18" s="5">
        <v>-40.4052743406283</v>
      </c>
      <c r="T18" s="5">
        <v>26.8859869290736</v>
      </c>
      <c r="U18" s="5">
        <v>67.2912612697019</v>
      </c>
      <c r="V18" s="5">
        <v>0.405000000000001</v>
      </c>
      <c r="W18" s="5">
        <v>343.627937368183</v>
      </c>
      <c r="X18" s="5">
        <v>24.9198299982687</v>
      </c>
      <c r="Y18" s="35"/>
      <c r="Z18" s="6" t="s">
        <v>81</v>
      </c>
      <c r="AA18" s="7">
        <v>10.0</v>
      </c>
      <c r="AB18" s="27">
        <f t="shared" si="2"/>
        <v>73.5835</v>
      </c>
      <c r="AC18" s="36">
        <v>-59.7388471604634</v>
      </c>
      <c r="AD18" s="36">
        <v>100.0</v>
      </c>
      <c r="AE18" s="29">
        <f t="shared" si="3"/>
        <v>1.359000319</v>
      </c>
      <c r="AF18" s="36">
        <v>-36.2854012016669</v>
      </c>
      <c r="AG18" s="36">
        <v>16.0522464525457</v>
      </c>
      <c r="AH18" s="36">
        <v>152.893069823676</v>
      </c>
      <c r="AI18" s="36">
        <v>0.599999999999934</v>
      </c>
      <c r="AJ18" s="36">
        <v>-53.0090343879693</v>
      </c>
      <c r="AK18" s="36">
        <v>16.7236331863023</v>
      </c>
      <c r="AL18" s="5">
        <v>103.0</v>
      </c>
      <c r="AM18" s="36">
        <v>0.5502</v>
      </c>
      <c r="AN18" s="36">
        <v>492.6</v>
      </c>
      <c r="AO18" s="37">
        <f t="shared" si="6"/>
        <v>605.54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>
      <c r="A19" s="39">
        <v>43334.0</v>
      </c>
      <c r="B19" s="7" t="s">
        <v>60</v>
      </c>
      <c r="C19" s="7" t="s">
        <v>55</v>
      </c>
      <c r="D19" s="25" t="s">
        <v>39</v>
      </c>
      <c r="E19" s="31"/>
      <c r="F19" s="34" t="s">
        <v>56</v>
      </c>
      <c r="G19" s="6" t="s">
        <v>82</v>
      </c>
      <c r="H19" s="5">
        <v>-184.541</v>
      </c>
      <c r="I19" s="5">
        <v>10.103</v>
      </c>
      <c r="J19" s="27">
        <v>49.328</v>
      </c>
      <c r="K19" s="5">
        <v>47.329857142857136</v>
      </c>
      <c r="L19" s="5">
        <v>64.91871428571429</v>
      </c>
      <c r="M19" s="35"/>
      <c r="N19" s="6" t="s">
        <v>83</v>
      </c>
      <c r="O19" s="5">
        <v>13.0</v>
      </c>
      <c r="P19" s="5">
        <v>760.0</v>
      </c>
      <c r="Q19" s="27">
        <f t="shared" si="5"/>
        <v>11.70694781</v>
      </c>
      <c r="R19" s="5">
        <v>-60.1074232185059</v>
      </c>
      <c r="S19" s="5">
        <v>-35.0036628917678</v>
      </c>
      <c r="T19" s="5">
        <v>30.7312018587709</v>
      </c>
      <c r="U19" s="5">
        <v>65.7348647505387</v>
      </c>
      <c r="V19" s="28" t="s">
        <v>56</v>
      </c>
      <c r="W19" s="5">
        <v>362.243660440527</v>
      </c>
      <c r="X19" s="5">
        <v>27.45520842814</v>
      </c>
      <c r="Y19" s="35"/>
      <c r="Z19" s="6" t="s">
        <v>84</v>
      </c>
      <c r="AA19" s="7">
        <v>10.0</v>
      </c>
      <c r="AB19" s="27">
        <f t="shared" si="2"/>
        <v>64.91871429</v>
      </c>
      <c r="AC19" s="36">
        <v>-60.0384687491917</v>
      </c>
      <c r="AD19" s="36">
        <v>270.0</v>
      </c>
      <c r="AE19" s="29">
        <f t="shared" si="3"/>
        <v>4.159047248</v>
      </c>
      <c r="AF19" s="36">
        <v>-31.8603522746344</v>
      </c>
      <c r="AG19" s="36">
        <v>20.4772953795782</v>
      </c>
      <c r="AH19" s="36">
        <v>187.683109663794</v>
      </c>
      <c r="AI19" s="36">
        <v>0.450000000000061</v>
      </c>
      <c r="AJ19" s="36">
        <v>-51.6052257628417</v>
      </c>
      <c r="AK19" s="36">
        <v>19.7448734882073</v>
      </c>
      <c r="AL19" s="5">
        <v>34.0</v>
      </c>
      <c r="AM19" s="36">
        <v>1.1685</v>
      </c>
      <c r="AN19" s="36">
        <v>406.25</v>
      </c>
      <c r="AO19" s="37">
        <f t="shared" si="6"/>
        <v>519.19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>
      <c r="A20" s="39">
        <v>43334.0</v>
      </c>
      <c r="B20" s="7" t="s">
        <v>54</v>
      </c>
      <c r="C20" s="7" t="s">
        <v>55</v>
      </c>
      <c r="D20" s="25" t="s">
        <v>39</v>
      </c>
      <c r="E20" s="26"/>
      <c r="F20" s="34" t="s">
        <v>56</v>
      </c>
      <c r="G20" s="6" t="s">
        <v>85</v>
      </c>
      <c r="H20" s="5">
        <v>-72.615</v>
      </c>
      <c r="I20" s="5">
        <v>9.164</v>
      </c>
      <c r="J20" s="27">
        <v>122.616</v>
      </c>
      <c r="K20" s="5">
        <v>108.29649999999998</v>
      </c>
      <c r="L20" s="5">
        <v>58.84916666666667</v>
      </c>
      <c r="M20" s="35"/>
      <c r="N20" s="6" t="s">
        <v>86</v>
      </c>
      <c r="O20" s="5">
        <v>10.0</v>
      </c>
      <c r="P20" s="5">
        <v>300.0</v>
      </c>
      <c r="Q20" s="27">
        <f t="shared" si="5"/>
        <v>5.097778218</v>
      </c>
      <c r="R20" s="5">
        <v>-59.6678448833603</v>
      </c>
      <c r="S20" s="5">
        <v>-39.3981942399933</v>
      </c>
      <c r="T20" s="5">
        <v>35.7055672043316</v>
      </c>
      <c r="U20" s="5">
        <v>75.1037614443249</v>
      </c>
      <c r="V20" s="5">
        <v>0.35</v>
      </c>
      <c r="W20" s="5">
        <v>467.834483113166</v>
      </c>
      <c r="X20" s="5">
        <v>27.2756613370934</v>
      </c>
      <c r="Y20" s="35"/>
      <c r="Z20" s="40" t="s">
        <v>87</v>
      </c>
      <c r="AA20" s="7">
        <v>10.0</v>
      </c>
      <c r="AB20" s="27">
        <f t="shared" si="2"/>
        <v>58.84916667</v>
      </c>
      <c r="AC20" s="5">
        <v>-60.5615858263137</v>
      </c>
      <c r="AD20" s="5">
        <v>120.0</v>
      </c>
      <c r="AE20" s="29">
        <f t="shared" si="3"/>
        <v>2.039111287</v>
      </c>
      <c r="AF20" s="5">
        <v>-34.8205574189251</v>
      </c>
      <c r="AG20" s="5">
        <v>22.9187016841479</v>
      </c>
      <c r="AH20" s="5">
        <v>255.126958827532</v>
      </c>
      <c r="AI20" s="5">
        <v>0.5</v>
      </c>
      <c r="AJ20" s="5">
        <v>-50.8728038714708</v>
      </c>
      <c r="AK20" s="5">
        <v>16.0522464525457</v>
      </c>
      <c r="AL20" s="5">
        <v>75.0</v>
      </c>
      <c r="AM20" s="5">
        <v>0.7429</v>
      </c>
      <c r="AN20" s="5">
        <v>241.7</v>
      </c>
      <c r="AO20" s="37">
        <f t="shared" si="6"/>
        <v>354.64</v>
      </c>
      <c r="AP20" s="41"/>
      <c r="AQ20" s="41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ht="15.75" customHeight="1">
      <c r="A21" s="39">
        <v>43328.0</v>
      </c>
      <c r="B21" s="7" t="s">
        <v>54</v>
      </c>
      <c r="C21" s="7" t="s">
        <v>55</v>
      </c>
      <c r="D21" s="25" t="s">
        <v>39</v>
      </c>
      <c r="E21" s="31"/>
      <c r="F21" s="34" t="s">
        <v>56</v>
      </c>
      <c r="G21" s="6" t="s">
        <v>88</v>
      </c>
      <c r="H21" s="5">
        <v>-155.305</v>
      </c>
      <c r="I21" s="5">
        <v>16.375</v>
      </c>
      <c r="J21" s="27">
        <v>148.967</v>
      </c>
      <c r="K21" s="5">
        <v>150.20466666666667</v>
      </c>
      <c r="L21" s="5">
        <v>41.333666666666666</v>
      </c>
      <c r="M21" s="35"/>
      <c r="N21" s="5" t="s">
        <v>89</v>
      </c>
      <c r="O21" s="5">
        <v>3.0</v>
      </c>
      <c r="P21" s="5">
        <v>130.0</v>
      </c>
      <c r="Q21" s="27">
        <f t="shared" si="5"/>
        <v>3.145135926</v>
      </c>
      <c r="R21" s="5">
        <v>-60.9592392681944</v>
      </c>
      <c r="S21" s="5">
        <v>-43.8842783246401</v>
      </c>
      <c r="T21" s="5">
        <v>13.7329104632045</v>
      </c>
      <c r="U21" s="5">
        <v>57.6171887878445</v>
      </c>
      <c r="V21" s="5">
        <v>0.579999999999998</v>
      </c>
      <c r="W21" s="5">
        <v>225.830083172696</v>
      </c>
      <c r="X21" s="5">
        <v>31.5225212052806</v>
      </c>
      <c r="Y21" s="35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40"/>
      <c r="AP21" s="41"/>
      <c r="AQ21" s="41"/>
      <c r="AR21" s="5"/>
      <c r="AS21" s="5"/>
      <c r="AT21" s="36"/>
      <c r="AU21" s="5"/>
      <c r="AV21" s="5"/>
      <c r="AW21" s="5"/>
      <c r="AX21" s="5"/>
      <c r="AY21" s="5"/>
      <c r="AZ21" s="5"/>
      <c r="BA21" s="5"/>
      <c r="BB21" s="5"/>
    </row>
    <row r="22" ht="15.75" customHeight="1">
      <c r="A22" s="39">
        <v>43328.0</v>
      </c>
      <c r="B22" s="7" t="s">
        <v>60</v>
      </c>
      <c r="C22" s="7" t="s">
        <v>55</v>
      </c>
      <c r="D22" s="25" t="s">
        <v>39</v>
      </c>
      <c r="E22" s="31"/>
      <c r="F22" s="34" t="s">
        <v>56</v>
      </c>
      <c r="G22" s="6" t="s">
        <v>90</v>
      </c>
      <c r="H22" s="5">
        <v>-132.192</v>
      </c>
      <c r="I22" s="5">
        <v>5.569</v>
      </c>
      <c r="J22" s="27">
        <v>87.164</v>
      </c>
      <c r="K22" s="5">
        <v>87.922</v>
      </c>
      <c r="L22" s="5">
        <v>78.5952</v>
      </c>
      <c r="M22" s="35"/>
      <c r="N22" s="6" t="s">
        <v>91</v>
      </c>
      <c r="O22" s="5">
        <v>32.0</v>
      </c>
      <c r="P22" s="5">
        <v>520.0</v>
      </c>
      <c r="Q22" s="27">
        <f t="shared" si="5"/>
        <v>6.616180123</v>
      </c>
      <c r="R22" s="5">
        <v>-59.9757750785437</v>
      </c>
      <c r="S22" s="5">
        <v>-34.3627937368183</v>
      </c>
      <c r="T22" s="5">
        <v>39.7949227644858</v>
      </c>
      <c r="U22" s="5">
        <v>74.1577165013041</v>
      </c>
      <c r="V22" s="5">
        <v>0.390000000000001</v>
      </c>
      <c r="W22" s="5">
        <v>416.259774929131</v>
      </c>
      <c r="X22" s="5">
        <v>35.4713288535813</v>
      </c>
      <c r="Y22" s="35"/>
      <c r="Z22" s="6" t="s">
        <v>92</v>
      </c>
      <c r="AA22" s="7">
        <v>10.0</v>
      </c>
      <c r="AB22" s="27">
        <f t="shared" ref="AB22:AB23" si="7">L22</f>
        <v>78.5952</v>
      </c>
      <c r="AC22" s="5">
        <v>-60.0543989253286</v>
      </c>
      <c r="AD22" s="5">
        <v>230.0</v>
      </c>
      <c r="AE22" s="29">
        <f t="shared" ref="AE22:AE23" si="8">AD22/AB22</f>
        <v>2.926387362</v>
      </c>
      <c r="AF22" s="5">
        <v>-26.8249517714594</v>
      </c>
      <c r="AG22" s="5">
        <v>33.1420905845335</v>
      </c>
      <c r="AH22" s="5">
        <v>218.505864258987</v>
      </c>
      <c r="AI22" s="5">
        <v>0.549999999999939</v>
      </c>
      <c r="AJ22" s="5">
        <v>-47.5769053603017</v>
      </c>
      <c r="AK22" s="5">
        <v>20.7519535888423</v>
      </c>
      <c r="AL22" s="5">
        <v>35.0</v>
      </c>
      <c r="AM22" s="5">
        <v>1.031</v>
      </c>
      <c r="AN22" s="5">
        <v>461.25</v>
      </c>
      <c r="AO22" s="37">
        <f t="shared" ref="AO22:AO23" si="9">AN22+112.94</f>
        <v>574.19</v>
      </c>
      <c r="AP22" s="20"/>
      <c r="AQ22" s="41"/>
      <c r="AR22" s="5"/>
      <c r="AS22" s="5"/>
      <c r="AT22" s="36"/>
      <c r="AU22" s="5"/>
      <c r="AV22" s="5"/>
      <c r="AW22" s="5"/>
      <c r="AX22" s="5"/>
      <c r="AY22" s="5"/>
      <c r="AZ22" s="5"/>
      <c r="BA22" s="5"/>
      <c r="BB22" s="5"/>
    </row>
    <row r="23" ht="15.75" customHeight="1">
      <c r="A23" s="39">
        <v>43328.0</v>
      </c>
      <c r="B23" s="7" t="s">
        <v>64</v>
      </c>
      <c r="C23" s="7" t="s">
        <v>55</v>
      </c>
      <c r="D23" s="25" t="s">
        <v>39</v>
      </c>
      <c r="E23" s="26"/>
      <c r="F23" s="34" t="s">
        <v>56</v>
      </c>
      <c r="G23" s="6" t="s">
        <v>93</v>
      </c>
      <c r="H23" s="5">
        <v>-137.725</v>
      </c>
      <c r="I23" s="5">
        <v>12.106</v>
      </c>
      <c r="J23" s="27">
        <v>203.923</v>
      </c>
      <c r="K23" s="5">
        <v>216.029</v>
      </c>
      <c r="L23" s="5">
        <v>60.276599999999995</v>
      </c>
      <c r="M23" s="35"/>
      <c r="N23" s="5" t="s">
        <v>94</v>
      </c>
      <c r="O23" s="5">
        <v>5.0</v>
      </c>
      <c r="P23" s="5">
        <v>100.0</v>
      </c>
      <c r="Q23" s="27">
        <f t="shared" si="5"/>
        <v>1.659018591</v>
      </c>
      <c r="R23" s="5">
        <v>-58.8239</v>
      </c>
      <c r="S23" s="5">
        <v>-43.335</v>
      </c>
      <c r="T23" s="5">
        <v>27.5574</v>
      </c>
      <c r="U23" s="5">
        <v>70.8923</v>
      </c>
      <c r="V23" s="5">
        <v>0.44</v>
      </c>
      <c r="W23" s="5">
        <v>349.7315</v>
      </c>
      <c r="X23" s="5">
        <v>34.1887</v>
      </c>
      <c r="Y23" s="35"/>
      <c r="Z23" s="5" t="s">
        <v>95</v>
      </c>
      <c r="AA23" s="7">
        <v>10.0</v>
      </c>
      <c r="AB23" s="27">
        <f t="shared" si="7"/>
        <v>60.2766</v>
      </c>
      <c r="AC23" s="5">
        <v>-61.6444868514953</v>
      </c>
      <c r="AD23" s="5">
        <v>20.0</v>
      </c>
      <c r="AE23" s="29">
        <f t="shared" si="8"/>
        <v>0.3318037182</v>
      </c>
      <c r="AF23" s="5">
        <v>-42.1752939114413</v>
      </c>
      <c r="AG23" s="5">
        <v>23.95629936359</v>
      </c>
      <c r="AH23" s="5">
        <v>234.069829450618</v>
      </c>
      <c r="AI23" s="5">
        <v>0.600000000000045</v>
      </c>
      <c r="AJ23" s="5">
        <v>-57.8918469971086</v>
      </c>
      <c r="AK23" s="5">
        <v>15.7165530856673</v>
      </c>
      <c r="AL23" s="5">
        <v>113.0</v>
      </c>
      <c r="AM23" s="5">
        <v>0.1174</v>
      </c>
      <c r="AN23" s="5">
        <v>486.15</v>
      </c>
      <c r="AO23" s="37">
        <f t="shared" si="9"/>
        <v>599.09</v>
      </c>
      <c r="AP23" s="20"/>
      <c r="AQ23" s="41"/>
      <c r="AR23" s="5"/>
      <c r="AS23" s="5"/>
      <c r="AT23" s="36"/>
      <c r="AU23" s="5"/>
      <c r="AV23" s="5"/>
      <c r="AW23" s="5"/>
      <c r="AX23" s="5"/>
      <c r="AY23" s="5"/>
      <c r="AZ23" s="5"/>
      <c r="BA23" s="5"/>
      <c r="BB23" s="5"/>
    </row>
    <row r="24" ht="15.75" customHeight="1">
      <c r="A24" s="39">
        <v>43328.0</v>
      </c>
      <c r="B24" s="7" t="s">
        <v>68</v>
      </c>
      <c r="C24" s="7" t="s">
        <v>55</v>
      </c>
      <c r="D24" s="25" t="s">
        <v>39</v>
      </c>
      <c r="E24" s="31"/>
      <c r="F24" s="34" t="s">
        <v>56</v>
      </c>
      <c r="G24" s="6" t="s">
        <v>96</v>
      </c>
      <c r="H24" s="5">
        <v>-69.411</v>
      </c>
      <c r="I24" s="5">
        <v>9.58</v>
      </c>
      <c r="J24" s="27">
        <v>134.617</v>
      </c>
      <c r="K24" s="5">
        <v>149.18419999999998</v>
      </c>
      <c r="L24" s="5">
        <v>64.91352</v>
      </c>
      <c r="M24" s="5"/>
      <c r="N24" s="6" t="s">
        <v>97</v>
      </c>
      <c r="O24" s="5">
        <v>8.0</v>
      </c>
      <c r="P24" s="5">
        <v>180.0</v>
      </c>
      <c r="Q24" s="27">
        <f t="shared" si="5"/>
        <v>2.772920033</v>
      </c>
      <c r="R24" s="5">
        <v>-59.2963</v>
      </c>
      <c r="S24" s="5">
        <v>-39.5203</v>
      </c>
      <c r="T24" s="5">
        <v>35.4614</v>
      </c>
      <c r="U24" s="5">
        <v>74.9817</v>
      </c>
      <c r="V24" s="5">
        <v>0.405</v>
      </c>
      <c r="W24" s="5">
        <v>426.6358</v>
      </c>
      <c r="X24" s="5">
        <v>33.8283</v>
      </c>
      <c r="Y24" s="5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40"/>
      <c r="AP24" s="20"/>
      <c r="AQ24" s="41"/>
      <c r="AR24" s="5"/>
      <c r="AS24" s="5"/>
      <c r="AT24" s="36"/>
      <c r="AU24" s="5"/>
      <c r="AV24" s="5"/>
      <c r="AW24" s="5"/>
      <c r="AX24" s="5"/>
      <c r="AY24" s="5"/>
      <c r="AZ24" s="5"/>
      <c r="BA24" s="5"/>
      <c r="BB24" s="5"/>
    </row>
    <row r="25" ht="15.75" customHeight="1">
      <c r="A25" s="39">
        <v>43328.0</v>
      </c>
      <c r="B25" s="7" t="s">
        <v>98</v>
      </c>
      <c r="C25" s="7" t="s">
        <v>55</v>
      </c>
      <c r="D25" s="25" t="s">
        <v>39</v>
      </c>
      <c r="E25" s="31"/>
      <c r="F25" s="7">
        <v>-50.2779</v>
      </c>
      <c r="G25" s="42" t="s">
        <v>99</v>
      </c>
      <c r="H25" s="5">
        <v>-94.222</v>
      </c>
      <c r="I25" s="5">
        <v>11.001</v>
      </c>
      <c r="J25" s="27">
        <v>81.772</v>
      </c>
      <c r="K25" s="5">
        <v>79.1626</v>
      </c>
      <c r="L25" s="5">
        <v>64.148</v>
      </c>
      <c r="M25" s="5"/>
      <c r="N25" s="5" t="s">
        <v>100</v>
      </c>
      <c r="O25" s="5">
        <v>15.0</v>
      </c>
      <c r="P25" s="5">
        <v>300.0</v>
      </c>
      <c r="Q25" s="27">
        <f t="shared" si="5"/>
        <v>4.676685166</v>
      </c>
      <c r="R25" s="5">
        <v>-60.3911</v>
      </c>
      <c r="S25" s="5">
        <v>-39.3982</v>
      </c>
      <c r="T25" s="5">
        <v>30.4871</v>
      </c>
      <c r="U25" s="5">
        <v>69.8853</v>
      </c>
      <c r="V25" s="5">
        <v>0.435</v>
      </c>
      <c r="W25" s="5">
        <v>371.3989</v>
      </c>
      <c r="X25" s="5">
        <v>38.1126</v>
      </c>
      <c r="Y25" s="5"/>
      <c r="Z25" s="5" t="s">
        <v>101</v>
      </c>
      <c r="AA25" s="7">
        <v>10.0</v>
      </c>
      <c r="AB25" s="27">
        <f t="shared" ref="AB25:AB35" si="10">L25</f>
        <v>64.148</v>
      </c>
      <c r="AC25" s="5">
        <v>-60.4292158282378</v>
      </c>
      <c r="AD25" s="5">
        <v>120.0</v>
      </c>
      <c r="AE25" s="29">
        <f t="shared" ref="AE25:AE35" si="11">AD25/AB25</f>
        <v>1.870674066</v>
      </c>
      <c r="AF25" s="5">
        <v>-38.7268075062366</v>
      </c>
      <c r="AG25" s="5">
        <v>28.3508307118154</v>
      </c>
      <c r="AH25" s="5">
        <v>257.873540920173</v>
      </c>
      <c r="AI25" s="5">
        <v>0.549999999999939</v>
      </c>
      <c r="AJ25" s="5">
        <v>-54.2297375402541</v>
      </c>
      <c r="AK25" s="5">
        <v>15.5029300340175</v>
      </c>
      <c r="AL25" s="5">
        <v>84.0</v>
      </c>
      <c r="AM25" s="5">
        <v>0.2594</v>
      </c>
      <c r="AN25" s="5">
        <v>437.25</v>
      </c>
      <c r="AO25" s="37">
        <f t="shared" ref="AO25:AO35" si="12">AN25+112.94</f>
        <v>550.19</v>
      </c>
      <c r="AP25" s="20"/>
      <c r="AQ25" s="41"/>
      <c r="AR25" s="5"/>
      <c r="AS25" s="5"/>
      <c r="AT25" s="36"/>
      <c r="AU25" s="5"/>
      <c r="AV25" s="5"/>
      <c r="AW25" s="5"/>
      <c r="AX25" s="5"/>
      <c r="AY25" s="5"/>
      <c r="AZ25" s="5"/>
      <c r="BA25" s="5"/>
      <c r="BB25" s="5"/>
    </row>
    <row r="26" ht="15.75" customHeight="1">
      <c r="A26" s="39">
        <v>43328.0</v>
      </c>
      <c r="B26" s="7" t="s">
        <v>102</v>
      </c>
      <c r="C26" s="7" t="s">
        <v>55</v>
      </c>
      <c r="D26" s="25" t="s">
        <v>39</v>
      </c>
      <c r="E26" s="26"/>
      <c r="F26" s="34" t="s">
        <v>56</v>
      </c>
      <c r="G26" s="6" t="s">
        <v>103</v>
      </c>
      <c r="H26" s="5">
        <v>-93.311</v>
      </c>
      <c r="I26" s="5">
        <v>8.366</v>
      </c>
      <c r="J26" s="27">
        <v>163.084</v>
      </c>
      <c r="K26" s="5">
        <v>147.39712</v>
      </c>
      <c r="L26" s="43">
        <v>69.4596</v>
      </c>
      <c r="M26" s="5"/>
      <c r="N26" s="6" t="s">
        <v>104</v>
      </c>
      <c r="O26" s="5">
        <v>8.0</v>
      </c>
      <c r="P26" s="5">
        <v>230.0</v>
      </c>
      <c r="Q26" s="27">
        <f t="shared" si="5"/>
        <v>3.311277347</v>
      </c>
      <c r="R26" s="5">
        <v>-60.6792</v>
      </c>
      <c r="S26" s="5">
        <v>-40.0085</v>
      </c>
      <c r="T26" s="5">
        <v>34.8206</v>
      </c>
      <c r="U26" s="5">
        <v>74.8291</v>
      </c>
      <c r="V26" s="5">
        <v>0.305</v>
      </c>
      <c r="W26" s="5">
        <v>448.6084</v>
      </c>
      <c r="X26" s="5">
        <v>32.9509</v>
      </c>
      <c r="Y26" s="5"/>
      <c r="Z26" s="6" t="s">
        <v>105</v>
      </c>
      <c r="AA26" s="7">
        <v>10.0</v>
      </c>
      <c r="AB26" s="27">
        <f t="shared" si="10"/>
        <v>69.4596</v>
      </c>
      <c r="AC26" s="5">
        <v>-59.1056226590044</v>
      </c>
      <c r="AD26" s="5">
        <v>20.0</v>
      </c>
      <c r="AE26" s="29">
        <f t="shared" si="11"/>
        <v>0.2879371606</v>
      </c>
      <c r="AF26" s="5">
        <v>-36.8652351990022</v>
      </c>
      <c r="AG26" s="5">
        <v>29.6936041793288</v>
      </c>
      <c r="AH26" s="5">
        <v>302.734381766641</v>
      </c>
      <c r="AI26" s="5">
        <v>0.400000000000011</v>
      </c>
      <c r="AJ26" s="5">
        <v>-60.8825697202065</v>
      </c>
      <c r="AK26" s="5">
        <v>24.0173345212043</v>
      </c>
      <c r="AL26" s="5">
        <v>94.0</v>
      </c>
      <c r="AM26" s="5">
        <v>0.1162</v>
      </c>
      <c r="AN26" s="5">
        <v>191.05</v>
      </c>
      <c r="AO26" s="37">
        <f t="shared" si="12"/>
        <v>303.99</v>
      </c>
      <c r="AP26" s="20"/>
      <c r="AQ26" s="41"/>
      <c r="AR26" s="5"/>
      <c r="AS26" s="5"/>
      <c r="AT26" s="36"/>
      <c r="AU26" s="5"/>
      <c r="AV26" s="5"/>
      <c r="AW26" s="5"/>
      <c r="AX26" s="5"/>
      <c r="AY26" s="5"/>
      <c r="AZ26" s="5"/>
      <c r="BA26" s="5"/>
      <c r="BB26" s="5"/>
    </row>
    <row r="27" ht="15.75" customHeight="1">
      <c r="A27" s="39">
        <v>43328.0</v>
      </c>
      <c r="B27" s="7" t="s">
        <v>106</v>
      </c>
      <c r="C27" s="7" t="s">
        <v>55</v>
      </c>
      <c r="D27" s="25" t="s">
        <v>39</v>
      </c>
      <c r="E27" s="31"/>
      <c r="F27" s="34" t="s">
        <v>56</v>
      </c>
      <c r="G27" s="6" t="s">
        <v>107</v>
      </c>
      <c r="H27" s="5">
        <v>-149.168</v>
      </c>
      <c r="I27" s="5">
        <v>5.827</v>
      </c>
      <c r="J27" s="27">
        <v>60.546</v>
      </c>
      <c r="K27" s="5">
        <v>51.032599999999995</v>
      </c>
      <c r="L27" s="5">
        <v>88.91220000000001</v>
      </c>
      <c r="M27" s="5"/>
      <c r="N27" s="6" t="s">
        <v>108</v>
      </c>
      <c r="O27" s="5">
        <v>25.0</v>
      </c>
      <c r="P27" s="5">
        <v>450.0</v>
      </c>
      <c r="Q27" s="27">
        <f t="shared" si="5"/>
        <v>5.061172707</v>
      </c>
      <c r="R27" s="5">
        <v>-58.9946</v>
      </c>
      <c r="S27" s="5">
        <v>-39.5813</v>
      </c>
      <c r="T27" s="5">
        <v>36.4075</v>
      </c>
      <c r="U27" s="5">
        <v>75.9888</v>
      </c>
      <c r="V27" s="5">
        <v>0.375</v>
      </c>
      <c r="W27" s="5">
        <v>421.1426</v>
      </c>
      <c r="X27" s="5">
        <v>41.6398</v>
      </c>
      <c r="Y27" s="5"/>
      <c r="Z27" s="6" t="s">
        <v>109</v>
      </c>
      <c r="AA27" s="7">
        <v>10.0</v>
      </c>
      <c r="AB27" s="27">
        <f t="shared" si="10"/>
        <v>88.9122</v>
      </c>
      <c r="AC27" s="5">
        <v>-60.0533155512812</v>
      </c>
      <c r="AD27" s="5">
        <v>210.0</v>
      </c>
      <c r="AE27" s="29">
        <f t="shared" si="11"/>
        <v>2.361880597</v>
      </c>
      <c r="AF27" s="5">
        <v>-37.5976570903731</v>
      </c>
      <c r="AG27" s="5">
        <v>32.9895026904978</v>
      </c>
      <c r="AH27" s="5">
        <v>281.372076601656</v>
      </c>
      <c r="AI27" s="5">
        <v>0.55000000000005</v>
      </c>
      <c r="AJ27" s="5">
        <v>-53.6193859641117</v>
      </c>
      <c r="AK27" s="5">
        <v>16.0217288737386</v>
      </c>
      <c r="AL27" s="5">
        <v>51.0</v>
      </c>
      <c r="AM27" s="5">
        <v>0.4526</v>
      </c>
      <c r="AN27" s="5">
        <v>345.4</v>
      </c>
      <c r="AO27" s="37">
        <f t="shared" si="12"/>
        <v>458.34</v>
      </c>
      <c r="AP27" s="20"/>
      <c r="AQ27" s="41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ht="15.75" customHeight="1">
      <c r="A28" s="39">
        <v>43327.0</v>
      </c>
      <c r="B28" s="7" t="s">
        <v>60</v>
      </c>
      <c r="C28" s="7" t="s">
        <v>55</v>
      </c>
      <c r="D28" s="25" t="s">
        <v>39</v>
      </c>
      <c r="E28" s="31"/>
      <c r="F28" s="7">
        <v>-45.2148</v>
      </c>
      <c r="G28" s="42" t="s">
        <v>110</v>
      </c>
      <c r="H28" s="5">
        <v>-137.806</v>
      </c>
      <c r="I28" s="5">
        <v>8.656</v>
      </c>
      <c r="J28" s="27">
        <v>70.141</v>
      </c>
      <c r="K28" s="5">
        <v>62.723666666666674</v>
      </c>
      <c r="L28" s="5">
        <v>91.37233333333332</v>
      </c>
      <c r="M28" s="5"/>
      <c r="N28" s="27" t="s">
        <v>111</v>
      </c>
      <c r="O28" s="5">
        <v>7.0</v>
      </c>
      <c r="P28" s="5">
        <v>540.0</v>
      </c>
      <c r="Q28" s="27">
        <f t="shared" si="5"/>
        <v>5.909885195</v>
      </c>
      <c r="R28" s="5">
        <v>-59.1551</v>
      </c>
      <c r="S28" s="5">
        <v>-42.6941</v>
      </c>
      <c r="T28" s="5">
        <v>29.3579</v>
      </c>
      <c r="U28" s="5">
        <v>72.052</v>
      </c>
      <c r="V28" s="5">
        <v>0.41</v>
      </c>
      <c r="W28" s="5">
        <v>378.418</v>
      </c>
      <c r="X28" s="5">
        <v>32.4396</v>
      </c>
      <c r="Y28" s="5"/>
      <c r="Z28" s="5" t="s">
        <v>112</v>
      </c>
      <c r="AA28" s="34">
        <v>10.0</v>
      </c>
      <c r="AB28" s="27">
        <f t="shared" si="10"/>
        <v>91.37233333</v>
      </c>
      <c r="AC28" s="5">
        <v>-60.4301618731808</v>
      </c>
      <c r="AD28" s="5">
        <v>170.0</v>
      </c>
      <c r="AE28" s="29">
        <f t="shared" si="11"/>
        <v>1.860519413</v>
      </c>
      <c r="AF28" s="5">
        <v>-38.0554207724799</v>
      </c>
      <c r="AG28" s="5">
        <v>28.0456549237442</v>
      </c>
      <c r="AH28" s="5">
        <v>252.380376734891</v>
      </c>
      <c r="AI28" s="5">
        <v>0.500000000000056</v>
      </c>
      <c r="AJ28" s="5">
        <v>-54.9926770104321</v>
      </c>
      <c r="AK28" s="5">
        <v>16.9372562379522</v>
      </c>
      <c r="AL28" s="5">
        <v>49.0</v>
      </c>
      <c r="AM28" s="5">
        <v>0.517</v>
      </c>
      <c r="AN28" s="5">
        <v>491.2</v>
      </c>
      <c r="AO28" s="37">
        <f t="shared" si="12"/>
        <v>604.14</v>
      </c>
      <c r="AP28" s="20"/>
      <c r="AQ28" s="41"/>
      <c r="AR28" s="5"/>
      <c r="AS28" s="5"/>
      <c r="AT28" s="36"/>
      <c r="AU28" s="5"/>
      <c r="AV28" s="5"/>
      <c r="AW28" s="5"/>
      <c r="AX28" s="5"/>
      <c r="AY28" s="5"/>
      <c r="AZ28" s="5"/>
      <c r="BA28" s="5"/>
      <c r="BB28" s="5"/>
    </row>
    <row r="29" ht="15.75" customHeight="1">
      <c r="A29" s="39">
        <v>42959.0</v>
      </c>
      <c r="B29" s="7" t="s">
        <v>113</v>
      </c>
      <c r="C29" s="7" t="s">
        <v>114</v>
      </c>
      <c r="D29" s="25" t="s">
        <v>39</v>
      </c>
      <c r="E29" s="26"/>
      <c r="F29" s="7" t="s">
        <v>56</v>
      </c>
      <c r="G29" s="6">
        <v>1.7712008E7</v>
      </c>
      <c r="H29" s="5">
        <v>-0.0018</v>
      </c>
      <c r="I29" s="36">
        <v>19.9849</v>
      </c>
      <c r="J29" s="27">
        <v>323.9387</v>
      </c>
      <c r="K29" s="5">
        <v>318.50957272727277</v>
      </c>
      <c r="L29" s="5">
        <v>46.38846363636364</v>
      </c>
      <c r="M29" s="5"/>
      <c r="N29" s="6">
        <v>1.7712009E7</v>
      </c>
      <c r="O29" s="5">
        <v>22.0</v>
      </c>
      <c r="P29" s="5">
        <v>110.0</v>
      </c>
      <c r="Q29" s="27">
        <f t="shared" si="5"/>
        <v>2.371279223</v>
      </c>
      <c r="R29" s="5">
        <v>-60.7709536319752</v>
      </c>
      <c r="S29" s="5">
        <v>-42.0837411750199</v>
      </c>
      <c r="T29" s="5">
        <v>25.9094244072458</v>
      </c>
      <c r="U29" s="5">
        <v>67.9931655822657</v>
      </c>
      <c r="V29" s="5">
        <v>0.800000000000001</v>
      </c>
      <c r="W29" s="5">
        <v>228.881841053408</v>
      </c>
      <c r="X29" s="5">
        <v>27.1131930130596</v>
      </c>
      <c r="Y29" s="5"/>
      <c r="Z29" s="40" t="s">
        <v>115</v>
      </c>
      <c r="AA29" s="34">
        <v>5.0</v>
      </c>
      <c r="AB29" s="27">
        <f t="shared" si="10"/>
        <v>46.38846364</v>
      </c>
      <c r="AC29" s="5">
        <v>-59.7361158371601</v>
      </c>
      <c r="AD29" s="5">
        <v>10.0</v>
      </c>
      <c r="AE29" s="29">
        <f t="shared" si="11"/>
        <v>0.2155708384</v>
      </c>
      <c r="AF29" s="5">
        <v>-40.2526864465927</v>
      </c>
      <c r="AG29" s="5">
        <v>25.9399419860529</v>
      </c>
      <c r="AH29" s="5">
        <v>176.086429717088</v>
      </c>
      <c r="AI29" s="5">
        <v>1.0</v>
      </c>
      <c r="AJ29" s="5">
        <v>-56.6406262660167</v>
      </c>
      <c r="AK29" s="5">
        <v>16.387939819424</v>
      </c>
      <c r="AL29" s="5">
        <v>22.0</v>
      </c>
      <c r="AM29" s="5">
        <v>0.1973</v>
      </c>
      <c r="AN29" s="5">
        <v>320.05</v>
      </c>
      <c r="AO29" s="37">
        <f t="shared" si="12"/>
        <v>432.99</v>
      </c>
      <c r="AP29" s="5"/>
      <c r="AQ29" s="41"/>
      <c r="AR29" s="5"/>
      <c r="AS29" s="5"/>
      <c r="AT29" s="36"/>
      <c r="AU29" s="5"/>
      <c r="AV29" s="5"/>
      <c r="AW29" s="5"/>
      <c r="AX29" s="5"/>
      <c r="AY29" s="5"/>
      <c r="AZ29" s="5"/>
      <c r="BA29" s="5"/>
      <c r="BB29" s="5"/>
    </row>
    <row r="30" ht="15.75" customHeight="1">
      <c r="A30" s="39">
        <v>42959.0</v>
      </c>
      <c r="B30" s="7" t="s">
        <v>116</v>
      </c>
      <c r="C30" s="7" t="s">
        <v>114</v>
      </c>
      <c r="D30" s="25" t="s">
        <v>39</v>
      </c>
      <c r="E30" s="31"/>
      <c r="F30" s="7" t="s">
        <v>56</v>
      </c>
      <c r="G30" s="6">
        <v>1.7712041E7</v>
      </c>
      <c r="H30" s="5">
        <v>-77.6169</v>
      </c>
      <c r="I30" s="5">
        <v>9.8121</v>
      </c>
      <c r="J30" s="27">
        <v>99.19181418860387</v>
      </c>
      <c r="K30" s="5">
        <v>102.87018235294119</v>
      </c>
      <c r="L30" s="5">
        <v>89.46556874999999</v>
      </c>
      <c r="M30" s="5"/>
      <c r="N30" s="27" t="s">
        <v>117</v>
      </c>
      <c r="O30" s="5">
        <v>32.0</v>
      </c>
      <c r="P30" s="5">
        <v>320.0</v>
      </c>
      <c r="Q30" s="27">
        <f t="shared" si="5"/>
        <v>3.576795011</v>
      </c>
      <c r="R30" s="5">
        <v>-59.4554268848238</v>
      </c>
      <c r="S30" s="5">
        <v>-41.107178653192</v>
      </c>
      <c r="T30" s="5">
        <v>32.8369147964622</v>
      </c>
      <c r="U30" s="5">
        <v>73.9440934496543</v>
      </c>
      <c r="V30" s="5">
        <v>0.43</v>
      </c>
      <c r="W30" s="5">
        <v>358.276375195601</v>
      </c>
      <c r="X30" s="5">
        <v>37.1204547705514</v>
      </c>
      <c r="Y30" s="5"/>
      <c r="Z30" s="27" t="s">
        <v>118</v>
      </c>
      <c r="AA30" s="34">
        <v>5.0</v>
      </c>
      <c r="AB30" s="27">
        <f t="shared" si="10"/>
        <v>89.46556875</v>
      </c>
      <c r="AC30" s="36">
        <v>-59.6237043356246</v>
      </c>
      <c r="AD30" s="36">
        <v>60.0</v>
      </c>
      <c r="AE30" s="29">
        <f t="shared" si="11"/>
        <v>0.6706490646</v>
      </c>
      <c r="AF30" s="36">
        <v>-38.9404305578864</v>
      </c>
      <c r="AG30" s="36">
        <v>18.5546879147296</v>
      </c>
      <c r="AH30" s="36">
        <v>186.46240651151</v>
      </c>
      <c r="AI30" s="36">
        <v>0.650000000000039</v>
      </c>
      <c r="AJ30" s="36">
        <v>-56.4575207931739</v>
      </c>
      <c r="AK30" s="36">
        <v>17.5170902352875</v>
      </c>
      <c r="AL30" s="5">
        <v>32.0</v>
      </c>
      <c r="AM30" s="36">
        <v>0.301</v>
      </c>
      <c r="AN30" s="36">
        <v>393.2</v>
      </c>
      <c r="AO30" s="37">
        <f t="shared" si="12"/>
        <v>506.14</v>
      </c>
      <c r="AP30" s="20"/>
      <c r="AQ30" s="41"/>
      <c r="AR30" s="5"/>
      <c r="AS30" s="5"/>
      <c r="AT30" s="36"/>
      <c r="AU30" s="5"/>
      <c r="AV30" s="5"/>
      <c r="AW30" s="5"/>
      <c r="AX30" s="5"/>
      <c r="AY30" s="5"/>
      <c r="AZ30" s="5"/>
      <c r="BA30" s="5"/>
      <c r="BB30" s="5"/>
    </row>
    <row r="31" ht="15.75" customHeight="1">
      <c r="A31" s="39">
        <v>42959.0</v>
      </c>
      <c r="B31" s="7" t="s">
        <v>119</v>
      </c>
      <c r="C31" s="7" t="s">
        <v>114</v>
      </c>
      <c r="D31" s="25" t="s">
        <v>39</v>
      </c>
      <c r="E31" s="31"/>
      <c r="F31" s="7" t="s">
        <v>56</v>
      </c>
      <c r="G31" s="6">
        <v>1.7712065E7</v>
      </c>
      <c r="H31" s="36">
        <v>25.9142</v>
      </c>
      <c r="I31" s="5">
        <v>18.5152</v>
      </c>
      <c r="J31" s="27">
        <v>394.3385</v>
      </c>
      <c r="K31" s="5">
        <v>449.7056285714285</v>
      </c>
      <c r="L31" s="5">
        <v>33.63721666666667</v>
      </c>
      <c r="M31" s="5"/>
      <c r="N31" s="6">
        <v>1.7712066E7</v>
      </c>
      <c r="O31" s="36">
        <v>16.0</v>
      </c>
      <c r="P31" s="36">
        <v>80.0</v>
      </c>
      <c r="Q31" s="27">
        <f t="shared" si="5"/>
        <v>2.378318063</v>
      </c>
      <c r="R31" s="36">
        <v>-60.8842</v>
      </c>
      <c r="S31" s="36">
        <v>-43.9453</v>
      </c>
      <c r="T31" s="36">
        <v>20.0195</v>
      </c>
      <c r="U31" s="36">
        <v>63.9648</v>
      </c>
      <c r="V31" s="36">
        <v>0.655</v>
      </c>
      <c r="W31" s="36">
        <v>174.8657</v>
      </c>
      <c r="X31" s="5">
        <v>34.1522</v>
      </c>
      <c r="Y31" s="5"/>
      <c r="Z31" s="40" t="s">
        <v>120</v>
      </c>
      <c r="AA31" s="34">
        <v>5.0</v>
      </c>
      <c r="AB31" s="27">
        <f t="shared" si="10"/>
        <v>33.63721667</v>
      </c>
      <c r="AC31" s="5">
        <v>-57.231583920828</v>
      </c>
      <c r="AD31" s="5">
        <v>10.0</v>
      </c>
      <c r="AE31" s="29">
        <f t="shared" si="11"/>
        <v>0.2972897579</v>
      </c>
      <c r="AF31" s="5">
        <v>-43.4875498001475</v>
      </c>
      <c r="AG31" s="5">
        <v>19.7143559094002</v>
      </c>
      <c r="AH31" s="5">
        <v>125.732424685339</v>
      </c>
      <c r="AI31" s="5">
        <v>0.800000000000023</v>
      </c>
      <c r="AJ31" s="5">
        <v>-55.7861340594173</v>
      </c>
      <c r="AK31" s="5">
        <v>12.2985842592698</v>
      </c>
      <c r="AL31" s="5">
        <v>59.0</v>
      </c>
      <c r="AM31" s="5">
        <v>0.2622</v>
      </c>
      <c r="AN31" s="5">
        <v>310.65</v>
      </c>
      <c r="AO31" s="37">
        <f t="shared" si="12"/>
        <v>423.59</v>
      </c>
      <c r="AP31" s="41"/>
      <c r="AQ31" s="41"/>
      <c r="AR31" s="5"/>
      <c r="AS31" s="5"/>
      <c r="AT31" s="36"/>
      <c r="AU31" s="5"/>
      <c r="AV31" s="5"/>
      <c r="AW31" s="5"/>
      <c r="AX31" s="5"/>
      <c r="AY31" s="5"/>
      <c r="AZ31" s="5"/>
      <c r="BA31" s="5"/>
      <c r="BB31" s="5"/>
    </row>
    <row r="32" ht="15.75" customHeight="1">
      <c r="A32" s="39">
        <v>42959.0</v>
      </c>
      <c r="B32" s="7" t="s">
        <v>121</v>
      </c>
      <c r="C32" s="7" t="s">
        <v>114</v>
      </c>
      <c r="D32" s="25" t="s">
        <v>39</v>
      </c>
      <c r="E32" s="26"/>
      <c r="F32" s="7" t="s">
        <v>56</v>
      </c>
      <c r="G32" s="6">
        <v>1.7712076E7</v>
      </c>
      <c r="H32" s="5">
        <v>-47.301</v>
      </c>
      <c r="I32" s="36">
        <v>9.4988</v>
      </c>
      <c r="J32" s="27">
        <v>106.318</v>
      </c>
      <c r="K32" s="5">
        <v>101.15232727272725</v>
      </c>
      <c r="L32" s="5">
        <v>96.68031818181821</v>
      </c>
      <c r="M32" s="5"/>
      <c r="N32" s="6">
        <v>1.7712077E7</v>
      </c>
      <c r="O32" s="5">
        <v>38.0</v>
      </c>
      <c r="P32" s="5">
        <v>380.0</v>
      </c>
      <c r="Q32" s="27">
        <f t="shared" si="5"/>
        <v>3.93047941</v>
      </c>
      <c r="R32" s="5">
        <v>-60.3713298500081</v>
      </c>
      <c r="S32" s="5">
        <v>-39.7033700280645</v>
      </c>
      <c r="T32" s="5">
        <v>31.250000698492</v>
      </c>
      <c r="U32" s="5">
        <v>70.9533707265564</v>
      </c>
      <c r="V32" s="5">
        <v>0.5</v>
      </c>
      <c r="W32" s="5">
        <v>350.64698049382</v>
      </c>
      <c r="X32" s="5">
        <v>35.5439172442185</v>
      </c>
      <c r="Y32" s="5"/>
      <c r="Z32" s="6">
        <v>1.7712073E7</v>
      </c>
      <c r="AA32" s="34">
        <v>5.0</v>
      </c>
      <c r="AB32" s="27">
        <f t="shared" si="10"/>
        <v>96.68031818</v>
      </c>
      <c r="AC32" s="5">
        <v>-60.0621351315562</v>
      </c>
      <c r="AD32" s="5">
        <v>35.0</v>
      </c>
      <c r="AE32" s="29">
        <f t="shared" si="11"/>
        <v>0.3620178404</v>
      </c>
      <c r="AF32" s="5">
        <v>-36.2854012016669</v>
      </c>
      <c r="AG32" s="5">
        <v>29.4494635488718</v>
      </c>
      <c r="AH32" s="5">
        <v>240.783696788185</v>
      </c>
      <c r="AI32" s="5">
        <v>0.700000000000034</v>
      </c>
      <c r="AJ32" s="5">
        <v>-51.9104015509129</v>
      </c>
      <c r="AK32" s="5">
        <v>15.625000349246</v>
      </c>
      <c r="AL32" s="5">
        <v>23.0</v>
      </c>
      <c r="AM32" s="5">
        <v>0.2819</v>
      </c>
      <c r="AN32" s="5">
        <v>471.75</v>
      </c>
      <c r="AO32" s="37">
        <f t="shared" si="12"/>
        <v>584.69</v>
      </c>
      <c r="AP32" s="20"/>
      <c r="AQ32" s="41"/>
      <c r="AR32" s="5"/>
      <c r="AS32" s="5"/>
      <c r="AT32" s="36"/>
      <c r="AU32" s="5"/>
      <c r="AV32" s="5"/>
      <c r="AW32" s="5"/>
      <c r="AX32" s="5"/>
      <c r="AY32" s="5"/>
      <c r="AZ32" s="5"/>
      <c r="BA32" s="5"/>
      <c r="BB32" s="5"/>
    </row>
    <row r="33" ht="15.75" customHeight="1">
      <c r="A33" s="39">
        <v>42959.0</v>
      </c>
      <c r="B33" s="7" t="s">
        <v>122</v>
      </c>
      <c r="C33" s="7" t="s">
        <v>114</v>
      </c>
      <c r="D33" s="25" t="s">
        <v>39</v>
      </c>
      <c r="E33" s="31"/>
      <c r="F33" s="7" t="s">
        <v>56</v>
      </c>
      <c r="G33" s="6">
        <v>1.7712112E7</v>
      </c>
      <c r="H33" s="5">
        <v>-22.8975</v>
      </c>
      <c r="I33" s="5">
        <v>12.5301</v>
      </c>
      <c r="J33" s="27">
        <v>153.4116</v>
      </c>
      <c r="K33" s="36">
        <v>184.0177</v>
      </c>
      <c r="L33" s="5">
        <v>47.98704210526316</v>
      </c>
      <c r="M33" s="5"/>
      <c r="N33" s="40" t="s">
        <v>123</v>
      </c>
      <c r="O33" s="5">
        <v>18.0</v>
      </c>
      <c r="P33" s="5">
        <v>90.0</v>
      </c>
      <c r="Q33" s="27">
        <f t="shared" si="5"/>
        <v>1.875506304</v>
      </c>
      <c r="R33" s="5">
        <v>-59.2224</v>
      </c>
      <c r="S33" s="5">
        <v>-44.8914</v>
      </c>
      <c r="T33" s="5">
        <v>32.5012</v>
      </c>
      <c r="U33" s="5">
        <v>77.3926</v>
      </c>
      <c r="V33" s="5">
        <v>0.5</v>
      </c>
      <c r="W33" s="5">
        <v>360.7178</v>
      </c>
      <c r="X33" s="5">
        <v>35.0843</v>
      </c>
      <c r="Y33" s="5"/>
      <c r="Z33" s="40" t="s">
        <v>124</v>
      </c>
      <c r="AA33" s="34">
        <v>5.0</v>
      </c>
      <c r="AB33" s="27">
        <f t="shared" si="10"/>
        <v>47.98704211</v>
      </c>
      <c r="AC33" s="5">
        <v>-60.191819582698</v>
      </c>
      <c r="AD33" s="5">
        <v>10.0</v>
      </c>
      <c r="AE33" s="29">
        <f t="shared" si="11"/>
        <v>0.2083895894</v>
      </c>
      <c r="AF33" s="5">
        <v>-40.8630380227351</v>
      </c>
      <c r="AG33" s="5">
        <v>26.3061529317383</v>
      </c>
      <c r="AH33" s="5">
        <v>234.069829450618</v>
      </c>
      <c r="AI33" s="5">
        <v>0.649999999999984</v>
      </c>
      <c r="AJ33" s="5">
        <v>-60.0891126712213</v>
      </c>
      <c r="AK33" s="5">
        <v>19.2260746484863</v>
      </c>
      <c r="AL33" s="5">
        <v>45.0</v>
      </c>
      <c r="AM33" s="5">
        <v>0.1223</v>
      </c>
      <c r="AN33" s="5">
        <v>339.55</v>
      </c>
      <c r="AO33" s="37">
        <f t="shared" si="12"/>
        <v>452.49</v>
      </c>
      <c r="AP33" s="20"/>
      <c r="AQ33" s="41"/>
      <c r="AR33" s="5"/>
      <c r="AS33" s="5"/>
      <c r="AT33" s="36"/>
      <c r="AU33" s="5"/>
      <c r="AV33" s="5"/>
      <c r="AW33" s="5"/>
      <c r="AX33" s="5"/>
      <c r="AY33" s="5"/>
      <c r="AZ33" s="5"/>
      <c r="BA33" s="5"/>
      <c r="BB33" s="5"/>
    </row>
    <row r="34" ht="15.75" customHeight="1">
      <c r="A34" s="39">
        <v>43017.0</v>
      </c>
      <c r="B34" s="7" t="s">
        <v>121</v>
      </c>
      <c r="C34" s="7" t="s">
        <v>114</v>
      </c>
      <c r="D34" s="25" t="s">
        <v>39</v>
      </c>
      <c r="E34" s="31"/>
      <c r="F34" s="7" t="s">
        <v>56</v>
      </c>
      <c r="G34" s="5" t="s">
        <v>125</v>
      </c>
      <c r="H34" s="5">
        <v>-49.9277</v>
      </c>
      <c r="I34" s="5">
        <v>10.9319</v>
      </c>
      <c r="J34" s="27">
        <v>89.4139</v>
      </c>
      <c r="K34" s="5">
        <v>83.70203333333335</v>
      </c>
      <c r="L34" s="5">
        <v>33.92261666666667</v>
      </c>
      <c r="M34" s="5"/>
      <c r="N34" t="s">
        <v>49</v>
      </c>
      <c r="O34" s="5">
        <v>24.0</v>
      </c>
      <c r="P34" s="5">
        <v>240.0</v>
      </c>
      <c r="Q34" s="27">
        <f t="shared" si="5"/>
        <v>7.074925922</v>
      </c>
      <c r="R34" s="5">
        <v>-59.0930345489969</v>
      </c>
      <c r="S34" s="5">
        <v>-40.0085458161357</v>
      </c>
      <c r="T34" s="5">
        <v>30.2124030190498</v>
      </c>
      <c r="U34" s="5">
        <v>70.2209488351855</v>
      </c>
      <c r="V34" s="5">
        <v>0.454999999999998</v>
      </c>
      <c r="W34" s="5">
        <v>360.71778150017</v>
      </c>
      <c r="X34" s="5">
        <v>38.4523659098148</v>
      </c>
      <c r="Y34" s="5"/>
      <c r="Z34" s="40" t="s">
        <v>126</v>
      </c>
      <c r="AA34" s="44" t="s">
        <v>127</v>
      </c>
      <c r="AB34" s="27">
        <f t="shared" si="10"/>
        <v>33.92261667</v>
      </c>
      <c r="AC34" s="5">
        <v>-59.8903974568195</v>
      </c>
      <c r="AD34" s="5">
        <v>125.0</v>
      </c>
      <c r="AE34" s="29">
        <f t="shared" si="11"/>
        <v>3.684857251</v>
      </c>
      <c r="AF34" s="5">
        <v>-37.8417977208301</v>
      </c>
      <c r="AG34" s="5">
        <v>27.5573736628303</v>
      </c>
      <c r="AH34" s="5">
        <v>245.971685185396</v>
      </c>
      <c r="AI34" s="5">
        <v>0.599999999999934</v>
      </c>
      <c r="AJ34" s="5">
        <v>-48.5839854609367</v>
      </c>
      <c r="AK34" s="5">
        <v>10.7421877401066</v>
      </c>
      <c r="AL34" s="5">
        <v>50.0</v>
      </c>
      <c r="AM34" s="5">
        <v>0.2059</v>
      </c>
      <c r="AN34" s="5">
        <v>426.85</v>
      </c>
      <c r="AO34" s="37">
        <f t="shared" si="12"/>
        <v>539.79</v>
      </c>
      <c r="AP34" s="5"/>
      <c r="AQ34" s="41"/>
      <c r="AR34" s="5"/>
      <c r="AS34" s="5"/>
      <c r="AT34" s="36"/>
      <c r="AU34" s="5"/>
      <c r="AV34" s="5"/>
      <c r="AW34" s="5"/>
      <c r="AX34" s="5"/>
      <c r="AY34" s="5"/>
      <c r="AZ34" s="5"/>
      <c r="BA34" s="5"/>
      <c r="BB34" s="5"/>
    </row>
    <row r="35" ht="15.75" customHeight="1">
      <c r="A35" s="39">
        <v>43017.0</v>
      </c>
      <c r="B35" s="7" t="s">
        <v>128</v>
      </c>
      <c r="C35" s="7" t="s">
        <v>114</v>
      </c>
      <c r="D35" s="25" t="s">
        <v>39</v>
      </c>
      <c r="E35" s="26"/>
      <c r="F35" s="7" t="s">
        <v>56</v>
      </c>
      <c r="G35" s="5" t="s">
        <v>129</v>
      </c>
      <c r="H35" s="5">
        <v>-84.3693</v>
      </c>
      <c r="I35" s="5">
        <v>25.5609</v>
      </c>
      <c r="J35" s="27">
        <v>86.0125</v>
      </c>
      <c r="K35" s="36">
        <v>110.5545375</v>
      </c>
      <c r="L35" s="5">
        <v>59.931712499999996</v>
      </c>
      <c r="M35" s="5"/>
      <c r="N35" s="27" t="s">
        <v>130</v>
      </c>
      <c r="O35" s="5">
        <v>27.0</v>
      </c>
      <c r="P35" s="5">
        <v>270.0</v>
      </c>
      <c r="Q35" s="27">
        <f t="shared" si="5"/>
        <v>4.505127398</v>
      </c>
      <c r="R35" s="5">
        <v>-59.1432398786473</v>
      </c>
      <c r="S35" s="5">
        <v>-40.1306161313642</v>
      </c>
      <c r="T35" s="5">
        <v>3.81469735089013</v>
      </c>
      <c r="U35" s="5">
        <v>43.9453134822543</v>
      </c>
      <c r="V35" s="5">
        <v>0.625</v>
      </c>
      <c r="W35" s="5">
        <v>160.522464525457</v>
      </c>
      <c r="X35" s="5">
        <v>27.2347438210153</v>
      </c>
      <c r="Y35" s="5"/>
      <c r="Z35" s="6" t="s">
        <v>131</v>
      </c>
      <c r="AA35" s="7">
        <v>10.0</v>
      </c>
      <c r="AB35" s="27">
        <f t="shared" si="10"/>
        <v>59.9317125</v>
      </c>
      <c r="AC35" s="36">
        <v>-60.847337175474</v>
      </c>
      <c r="AD35" s="36">
        <v>220.0</v>
      </c>
      <c r="AE35" s="29">
        <f t="shared" si="11"/>
        <v>3.670844547</v>
      </c>
      <c r="AF35" s="36">
        <v>-36.1938484652456</v>
      </c>
      <c r="AG35" s="36">
        <v>11.2609865798277</v>
      </c>
      <c r="AH35" s="5">
        <v>131.225588870621</v>
      </c>
      <c r="AI35" s="36">
        <v>0.750000000000028</v>
      </c>
      <c r="AJ35" s="36">
        <v>-48.3703624092869</v>
      </c>
      <c r="AK35" s="36">
        <v>12.1765139440413</v>
      </c>
      <c r="AL35" s="36">
        <v>8.0</v>
      </c>
      <c r="AM35" s="36">
        <v>0.9346</v>
      </c>
      <c r="AN35" s="36">
        <v>451.05</v>
      </c>
      <c r="AO35" s="37">
        <f t="shared" si="12"/>
        <v>563.99</v>
      </c>
      <c r="AP35" s="41"/>
      <c r="AQ35" s="41"/>
      <c r="AR35" s="5"/>
      <c r="AS35" s="5"/>
      <c r="AT35" s="41"/>
      <c r="AU35" s="5"/>
      <c r="AV35" s="5"/>
      <c r="AW35" s="5"/>
      <c r="AX35" s="5"/>
      <c r="AY35" s="5"/>
      <c r="AZ35" s="5"/>
      <c r="BA35" s="5"/>
      <c r="BB35" s="5"/>
    </row>
    <row r="36" ht="15.75" customHeight="1">
      <c r="A36" s="33"/>
      <c r="B36" s="7"/>
      <c r="C36" s="7"/>
      <c r="D36" s="25"/>
      <c r="E36" s="5"/>
      <c r="F36" s="7"/>
      <c r="G36" s="5"/>
      <c r="H36" s="5"/>
      <c r="I36" s="5"/>
      <c r="J36" s="27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  <c r="AA36" s="7"/>
      <c r="AB36" s="36"/>
      <c r="AC36" s="36"/>
      <c r="AD36" s="36"/>
      <c r="AE36" s="36"/>
      <c r="AF36" s="5"/>
      <c r="AG36" s="5"/>
      <c r="AH36" s="41"/>
      <c r="AI36" s="41"/>
      <c r="AJ36" s="41"/>
      <c r="AK36" s="41"/>
      <c r="AL36" s="41"/>
      <c r="AM36" s="41"/>
      <c r="AN36" s="41"/>
      <c r="AO36" s="23"/>
      <c r="AP36" s="5"/>
      <c r="AQ36" s="41"/>
      <c r="AR36" s="5"/>
      <c r="AS36" s="5"/>
      <c r="AT36" s="36"/>
      <c r="AU36" s="5"/>
      <c r="AV36" s="5"/>
      <c r="AW36" s="5"/>
      <c r="AX36" s="5"/>
      <c r="AY36" s="5"/>
      <c r="AZ36" s="5"/>
      <c r="BA36" s="5"/>
      <c r="BB36" s="5"/>
    </row>
    <row r="37" ht="15.75" customHeight="1">
      <c r="A37" s="30"/>
      <c r="B37" s="7"/>
      <c r="C37" s="7"/>
      <c r="D37" s="45"/>
      <c r="E37" s="5"/>
      <c r="F37" s="7"/>
      <c r="G37" s="6"/>
      <c r="H37" s="5"/>
      <c r="I37" s="5"/>
      <c r="J37" s="27"/>
      <c r="K37" s="5"/>
      <c r="L37" s="5"/>
      <c r="M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6"/>
      <c r="AA37" s="7"/>
      <c r="AB37" s="34"/>
      <c r="AC37" s="34"/>
      <c r="AD37" s="34"/>
      <c r="AE37" s="34"/>
      <c r="AF37" s="7"/>
      <c r="AG37" s="7"/>
      <c r="AH37" s="7"/>
      <c r="AI37" s="7"/>
      <c r="AJ37" s="7"/>
      <c r="AK37" s="7"/>
      <c r="AL37" s="7"/>
      <c r="AM37" s="7"/>
      <c r="AN37" s="7"/>
      <c r="AO37" s="47"/>
      <c r="AP37" s="5"/>
      <c r="AQ37" s="5"/>
      <c r="AR37" s="5"/>
      <c r="AS37" s="5"/>
      <c r="AT37" s="34"/>
      <c r="AU37" s="5"/>
      <c r="AV37" s="5"/>
      <c r="AW37" s="5"/>
      <c r="AX37" s="5"/>
      <c r="AY37" s="5"/>
      <c r="AZ37" s="5"/>
      <c r="BA37" s="5"/>
      <c r="BB37" s="5"/>
    </row>
    <row r="38" ht="15.75" customHeight="1">
      <c r="A38" s="33" t="s">
        <v>132</v>
      </c>
      <c r="B38" s="7" t="s">
        <v>54</v>
      </c>
      <c r="C38" s="7" t="s">
        <v>55</v>
      </c>
      <c r="D38" s="45" t="s">
        <v>133</v>
      </c>
      <c r="E38" s="26"/>
      <c r="F38" s="7">
        <v>-55.0332</v>
      </c>
      <c r="G38" s="42" t="s">
        <v>134</v>
      </c>
      <c r="H38" s="7">
        <v>-63.589</v>
      </c>
      <c r="I38" s="7">
        <v>10.74</v>
      </c>
      <c r="J38" s="47">
        <v>67.37</v>
      </c>
      <c r="K38" s="7">
        <v>64.37871428571428</v>
      </c>
      <c r="L38" s="7">
        <v>78.31814285714287</v>
      </c>
      <c r="M38" s="5"/>
      <c r="N38" s="5" t="s">
        <v>135</v>
      </c>
      <c r="O38" s="5">
        <v>9.0</v>
      </c>
      <c r="P38" s="5">
        <v>590.0</v>
      </c>
      <c r="Q38" s="29">
        <f t="shared" ref="Q38:Q61" si="13">P38/L38</f>
        <v>7.533375773</v>
      </c>
      <c r="R38" s="28">
        <v>-60.770077229712</v>
      </c>
      <c r="S38" s="28">
        <v>-34.3017585792041</v>
      </c>
      <c r="T38" s="28">
        <v>33.782959739483</v>
      </c>
      <c r="U38" s="28">
        <v>68.084718318687</v>
      </c>
      <c r="V38" s="28">
        <v>0.365</v>
      </c>
      <c r="W38" s="28">
        <v>404.052743406283</v>
      </c>
      <c r="X38" s="28">
        <v>16.3388833169621</v>
      </c>
      <c r="Y38" s="5"/>
      <c r="Z38" s="5" t="s">
        <v>136</v>
      </c>
      <c r="AA38" s="7">
        <v>10.0</v>
      </c>
      <c r="AB38" s="47">
        <f t="shared" ref="AB38:AB50" si="14">L38</f>
        <v>78.31814286</v>
      </c>
      <c r="AC38" s="7">
        <v>-60.9085554385621</v>
      </c>
      <c r="AD38" s="7">
        <v>200.0</v>
      </c>
      <c r="AE38" s="47">
        <f t="shared" ref="AE38:AE50" si="15">AD38/AB38</f>
        <v>2.553686703</v>
      </c>
      <c r="AF38" s="7">
        <v>-31.4331061713347</v>
      </c>
      <c r="AG38" s="7">
        <v>26.733399035038</v>
      </c>
      <c r="AH38" s="7">
        <v>238.342290483615</v>
      </c>
      <c r="AI38" s="7">
        <v>0.499999999999945</v>
      </c>
      <c r="AJ38" s="7">
        <v>-53.4362804912689</v>
      </c>
      <c r="AK38" s="7">
        <v>22.0031743199343</v>
      </c>
      <c r="AL38" s="7">
        <v>37.0</v>
      </c>
      <c r="AM38" s="7">
        <v>0.1789</v>
      </c>
      <c r="AN38" s="7">
        <v>477.3</v>
      </c>
      <c r="AO38" s="48">
        <f t="shared" ref="AO38:AO50" si="16">AN38+112.94</f>
        <v>590.24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ht="15.75" customHeight="1">
      <c r="A39" s="33" t="s">
        <v>132</v>
      </c>
      <c r="B39" s="7" t="s">
        <v>137</v>
      </c>
      <c r="C39" s="7" t="s">
        <v>55</v>
      </c>
      <c r="D39" s="45" t="s">
        <v>133</v>
      </c>
      <c r="E39" s="26"/>
      <c r="F39" s="7">
        <v>-54.8266</v>
      </c>
      <c r="G39" s="42" t="s">
        <v>138</v>
      </c>
      <c r="H39" s="7">
        <v>-63.612</v>
      </c>
      <c r="I39" s="7">
        <v>13.858</v>
      </c>
      <c r="J39" s="47">
        <v>87.981</v>
      </c>
      <c r="K39" s="7">
        <v>81.02329999999999</v>
      </c>
      <c r="L39" s="7">
        <v>46.5551</v>
      </c>
      <c r="M39" s="5"/>
      <c r="N39" s="5" t="s">
        <v>139</v>
      </c>
      <c r="O39" s="5">
        <v>9.0</v>
      </c>
      <c r="P39" s="5">
        <v>590.0</v>
      </c>
      <c r="Q39" s="29">
        <f t="shared" si="13"/>
        <v>12.67315504</v>
      </c>
      <c r="R39" s="28">
        <v>-59.9909869178259</v>
      </c>
      <c r="S39" s="28">
        <v>-24.963379464225</v>
      </c>
      <c r="T39" s="28">
        <v>31.1889655408777</v>
      </c>
      <c r="U39" s="28">
        <v>56.1523450051027</v>
      </c>
      <c r="V39" s="28">
        <v>0.364999999999998</v>
      </c>
      <c r="W39" s="28">
        <v>281.982428177799</v>
      </c>
      <c r="X39" s="28">
        <v>1.89077177235583</v>
      </c>
      <c r="Y39" s="5"/>
      <c r="Z39" s="27" t="s">
        <v>140</v>
      </c>
      <c r="AA39" s="7">
        <v>10.0</v>
      </c>
      <c r="AB39" s="47">
        <f t="shared" si="14"/>
        <v>46.5551</v>
      </c>
      <c r="AC39" s="7">
        <v>-59.9231428188795</v>
      </c>
      <c r="AD39" s="7">
        <v>190.0</v>
      </c>
      <c r="AE39" s="47">
        <f t="shared" si="15"/>
        <v>4.08118552</v>
      </c>
      <c r="AF39" s="7">
        <v>-27.6184088204445</v>
      </c>
      <c r="AG39" s="7">
        <v>17.8222660233587</v>
      </c>
      <c r="AH39" s="7">
        <v>167.236331863023</v>
      </c>
      <c r="AI39" s="7">
        <v>0.450000000000006</v>
      </c>
      <c r="AJ39" s="7">
        <v>-55.7861340594173</v>
      </c>
      <c r="AK39" s="7">
        <v>28.1677252389727</v>
      </c>
      <c r="AL39" s="7">
        <v>72.0</v>
      </c>
      <c r="AM39" s="7">
        <v>0.0986</v>
      </c>
      <c r="AN39" s="7">
        <v>296.9</v>
      </c>
      <c r="AO39" s="48">
        <f t="shared" si="16"/>
        <v>409.84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ht="15.75" customHeight="1">
      <c r="A40" s="33" t="s">
        <v>132</v>
      </c>
      <c r="B40" s="7" t="s">
        <v>60</v>
      </c>
      <c r="C40" s="7" t="s">
        <v>55</v>
      </c>
      <c r="D40" s="45" t="s">
        <v>133</v>
      </c>
      <c r="E40" s="26"/>
      <c r="F40" s="34" t="s">
        <v>56</v>
      </c>
      <c r="G40" s="6" t="s">
        <v>141</v>
      </c>
      <c r="H40" s="7">
        <v>-154.71</v>
      </c>
      <c r="I40" s="7">
        <v>9.819</v>
      </c>
      <c r="J40" s="47">
        <v>95.779</v>
      </c>
      <c r="K40" s="7">
        <v>88.54785714285715</v>
      </c>
      <c r="L40" s="7">
        <v>49.94985714285714</v>
      </c>
      <c r="M40" s="5"/>
      <c r="N40" s="5" t="s">
        <v>142</v>
      </c>
      <c r="O40" s="5">
        <v>4.0</v>
      </c>
      <c r="P40" s="5">
        <v>240.0</v>
      </c>
      <c r="Q40" s="29">
        <f t="shared" si="13"/>
        <v>4.804818547</v>
      </c>
      <c r="R40" s="28">
        <v>-58.4917443462557</v>
      </c>
      <c r="S40" s="28">
        <v>-37.9943856148657</v>
      </c>
      <c r="T40" s="28">
        <v>37.6892098267945</v>
      </c>
      <c r="U40" s="28">
        <v>75.6835954416602</v>
      </c>
      <c r="V40" s="49">
        <v>0.425000000000001</v>
      </c>
      <c r="W40" s="28">
        <v>364.379890957025</v>
      </c>
      <c r="X40" s="28">
        <v>37.6569230747513</v>
      </c>
      <c r="Y40" s="5"/>
      <c r="Z40" s="5" t="s">
        <v>143</v>
      </c>
      <c r="AA40" s="7">
        <v>10.0</v>
      </c>
      <c r="AB40" s="47">
        <f t="shared" si="14"/>
        <v>49.94985714</v>
      </c>
      <c r="AC40" s="7">
        <v>-60.708985731952</v>
      </c>
      <c r="AD40" s="7">
        <v>140.0</v>
      </c>
      <c r="AE40" s="47">
        <f t="shared" si="15"/>
        <v>2.802810819</v>
      </c>
      <c r="AF40" s="7">
        <v>-40.2221688677855</v>
      </c>
      <c r="AG40" s="7">
        <v>32.4096686931625</v>
      </c>
      <c r="AH40" s="7">
        <v>269.165045078808</v>
      </c>
      <c r="AI40" s="7">
        <v>0.600000000000045</v>
      </c>
      <c r="AJ40" s="7" t="s">
        <v>56</v>
      </c>
      <c r="AK40" s="7" t="s">
        <v>56</v>
      </c>
      <c r="AL40" s="7">
        <v>98.0</v>
      </c>
      <c r="AM40" s="7">
        <v>0.1263</v>
      </c>
      <c r="AN40" s="7">
        <v>496.35</v>
      </c>
      <c r="AO40" s="48">
        <f t="shared" si="16"/>
        <v>609.29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ht="15.75" customHeight="1">
      <c r="A41" s="33">
        <v>43350.0</v>
      </c>
      <c r="B41" s="7" t="s">
        <v>54</v>
      </c>
      <c r="C41" s="7" t="s">
        <v>55</v>
      </c>
      <c r="D41" s="45" t="s">
        <v>133</v>
      </c>
      <c r="E41" s="26"/>
      <c r="F41" s="7" t="s">
        <v>56</v>
      </c>
      <c r="G41" s="6" t="s">
        <v>144</v>
      </c>
      <c r="H41" s="7">
        <v>-158.88</v>
      </c>
      <c r="I41" s="7">
        <v>11.731</v>
      </c>
      <c r="J41" s="47">
        <v>148.502</v>
      </c>
      <c r="K41" s="7">
        <v>131.8496</v>
      </c>
      <c r="L41" s="7">
        <v>68.2044</v>
      </c>
      <c r="M41" s="5"/>
      <c r="N41" s="6" t="s">
        <v>145</v>
      </c>
      <c r="O41" s="5">
        <v>2.0</v>
      </c>
      <c r="P41" s="5">
        <v>240.0</v>
      </c>
      <c r="Q41" s="29">
        <f t="shared" si="13"/>
        <v>3.518834562</v>
      </c>
      <c r="R41" s="28">
        <v>-60.443476536314</v>
      </c>
      <c r="S41" s="28">
        <v>-40.6494149710852</v>
      </c>
      <c r="T41" s="28">
        <v>22.6440434748838</v>
      </c>
      <c r="U41" s="28">
        <v>63.293458445969</v>
      </c>
      <c r="V41" s="28">
        <v>0.324999999999999</v>
      </c>
      <c r="W41" s="28">
        <v>378.417977208301</v>
      </c>
      <c r="X41" s="28">
        <v>15.8416677672014</v>
      </c>
      <c r="Y41" s="5"/>
      <c r="Z41" s="6" t="s">
        <v>146</v>
      </c>
      <c r="AA41" s="7">
        <v>10.0</v>
      </c>
      <c r="AB41" s="47">
        <f t="shared" si="14"/>
        <v>68.2044</v>
      </c>
      <c r="AC41" s="7">
        <v>-59.9420179413719</v>
      </c>
      <c r="AD41" s="7">
        <v>60.0</v>
      </c>
      <c r="AE41" s="47">
        <f t="shared" si="15"/>
        <v>0.8797086405</v>
      </c>
      <c r="AF41" s="7">
        <v>-32.4401862719697</v>
      </c>
      <c r="AG41" s="7">
        <v>17.9443363385872</v>
      </c>
      <c r="AH41" s="7">
        <v>209.045414828779</v>
      </c>
      <c r="AI41" s="7">
        <v>0.399999999999956</v>
      </c>
      <c r="AJ41" s="7">
        <v>-56.0302746898742</v>
      </c>
      <c r="AK41" s="7">
        <v>23.5900884179046</v>
      </c>
      <c r="AL41" s="7">
        <v>89.0</v>
      </c>
      <c r="AM41" s="7">
        <v>0.1934</v>
      </c>
      <c r="AN41" s="7">
        <v>422.2</v>
      </c>
      <c r="AO41" s="48">
        <f t="shared" si="16"/>
        <v>535.14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ht="15.75" customHeight="1">
      <c r="A42" s="33">
        <v>43350.0</v>
      </c>
      <c r="B42" s="7" t="s">
        <v>60</v>
      </c>
      <c r="C42" s="7" t="s">
        <v>55</v>
      </c>
      <c r="D42" s="45" t="s">
        <v>133</v>
      </c>
      <c r="E42" s="26"/>
      <c r="F42" s="7" t="s">
        <v>56</v>
      </c>
      <c r="G42" s="6" t="s">
        <v>147</v>
      </c>
      <c r="H42" s="7">
        <v>-167.185</v>
      </c>
      <c r="I42" s="7">
        <v>15.76</v>
      </c>
      <c r="J42" s="47">
        <v>72.029</v>
      </c>
      <c r="K42" s="7">
        <v>69.96433333333333</v>
      </c>
      <c r="L42" s="7">
        <v>79.71333333333332</v>
      </c>
      <c r="M42" s="5"/>
      <c r="N42" s="6" t="s">
        <v>148</v>
      </c>
      <c r="O42" s="5">
        <v>7.0</v>
      </c>
      <c r="P42" s="5">
        <v>340.0</v>
      </c>
      <c r="Q42" s="29">
        <f t="shared" si="13"/>
        <v>4.265283934</v>
      </c>
      <c r="R42" s="28">
        <v>-59.7328395011981</v>
      </c>
      <c r="S42" s="28">
        <v>-40.6494149710852</v>
      </c>
      <c r="T42" s="28">
        <v>28.991699866765</v>
      </c>
      <c r="U42" s="28">
        <v>69.6411148378502</v>
      </c>
      <c r="V42" s="28">
        <v>0.48</v>
      </c>
      <c r="W42" s="28">
        <v>338.745124759044</v>
      </c>
      <c r="X42" s="28">
        <v>35.1297112245919</v>
      </c>
      <c r="Y42" s="5"/>
      <c r="Z42" s="40" t="s">
        <v>149</v>
      </c>
      <c r="AA42" s="7">
        <v>10.0</v>
      </c>
      <c r="AB42" s="47">
        <f t="shared" si="14"/>
        <v>79.71333333</v>
      </c>
      <c r="AC42" s="7">
        <v>-60.1225751963841</v>
      </c>
      <c r="AD42" s="7">
        <v>70.0</v>
      </c>
      <c r="AE42" s="47">
        <f t="shared" si="15"/>
        <v>0.8781466923</v>
      </c>
      <c r="AF42" s="7">
        <v>-38.4216317181654</v>
      </c>
      <c r="AG42" s="7">
        <v>21.423340322599</v>
      </c>
      <c r="AH42" s="7">
        <v>213.317875861776</v>
      </c>
      <c r="AI42" s="7">
        <v>0.599999999999989</v>
      </c>
      <c r="AJ42" s="7">
        <v>-55.9997571110671</v>
      </c>
      <c r="AK42" s="7">
        <v>17.5781253929017</v>
      </c>
      <c r="AL42" s="7">
        <v>56.0</v>
      </c>
      <c r="AM42" s="7">
        <v>0.3902</v>
      </c>
      <c r="AN42" s="7">
        <v>289.2</v>
      </c>
      <c r="AO42" s="48">
        <f t="shared" si="16"/>
        <v>402.14</v>
      </c>
      <c r="AP42" s="5"/>
      <c r="AT42" s="5"/>
      <c r="AU42" s="5"/>
      <c r="AV42" s="5"/>
      <c r="AW42" s="5"/>
      <c r="AX42" s="5"/>
      <c r="AY42" s="5"/>
      <c r="AZ42" s="5"/>
      <c r="BA42" s="5"/>
      <c r="BB42" s="5"/>
    </row>
    <row r="43" ht="15.75" customHeight="1">
      <c r="A43" s="33">
        <v>43350.0</v>
      </c>
      <c r="B43" s="7" t="s">
        <v>64</v>
      </c>
      <c r="C43" s="7" t="s">
        <v>55</v>
      </c>
      <c r="D43" s="45" t="s">
        <v>133</v>
      </c>
      <c r="E43" s="26"/>
      <c r="F43" s="7">
        <v>-59.0014</v>
      </c>
      <c r="G43" s="42" t="s">
        <v>150</v>
      </c>
      <c r="H43" s="7">
        <v>-2.504</v>
      </c>
      <c r="I43" s="7">
        <v>10.733</v>
      </c>
      <c r="J43" s="47">
        <v>160.284</v>
      </c>
      <c r="K43" s="7">
        <v>151.0982</v>
      </c>
      <c r="L43" s="7">
        <v>54.253</v>
      </c>
      <c r="M43" s="5"/>
      <c r="N43" s="6" t="s">
        <v>151</v>
      </c>
      <c r="O43" s="5">
        <v>4.0</v>
      </c>
      <c r="P43" s="5">
        <v>140.0</v>
      </c>
      <c r="Q43" s="29">
        <f t="shared" si="13"/>
        <v>2.580502461</v>
      </c>
      <c r="R43" s="28">
        <v>-58.9486159760584</v>
      </c>
      <c r="S43" s="28">
        <v>-38.2995614029369</v>
      </c>
      <c r="T43" s="28">
        <v>34.3627937368183</v>
      </c>
      <c r="U43" s="28">
        <v>72.6623551397552</v>
      </c>
      <c r="V43" s="28">
        <v>0.485000000000003</v>
      </c>
      <c r="W43" s="28">
        <v>320.739753262842</v>
      </c>
      <c r="X43" s="28">
        <v>20.4258472371576</v>
      </c>
      <c r="Y43" s="5"/>
      <c r="Z43" s="6" t="s">
        <v>152</v>
      </c>
      <c r="AA43" s="7">
        <v>10.0</v>
      </c>
      <c r="AB43" s="47">
        <f t="shared" si="14"/>
        <v>54.253</v>
      </c>
      <c r="AC43" s="7">
        <v>-60.5870374870391</v>
      </c>
      <c r="AD43" s="7">
        <v>30.0</v>
      </c>
      <c r="AE43" s="47">
        <f t="shared" si="15"/>
        <v>0.552964813</v>
      </c>
      <c r="AF43" s="7">
        <v>-35.0952156281892</v>
      </c>
      <c r="AG43" s="7">
        <v>29.8767096521715</v>
      </c>
      <c r="AH43" s="7">
        <v>227.355962113052</v>
      </c>
      <c r="AI43" s="7">
        <v>0.600000000000045</v>
      </c>
      <c r="AJ43" s="7">
        <v>-54.199219961447</v>
      </c>
      <c r="AK43" s="7">
        <v>19.1040043332578</v>
      </c>
      <c r="AL43" s="7">
        <v>129.0</v>
      </c>
      <c r="AM43" s="7">
        <v>0.0936</v>
      </c>
      <c r="AN43" s="7">
        <v>399.6</v>
      </c>
      <c r="AO43" s="48">
        <f t="shared" si="16"/>
        <v>512.54</v>
      </c>
      <c r="AP43" s="5"/>
      <c r="AT43" s="5"/>
      <c r="AU43" s="5"/>
      <c r="AV43" s="5"/>
      <c r="AW43" s="5"/>
      <c r="AX43" s="5"/>
      <c r="AY43" s="5"/>
      <c r="AZ43" s="5"/>
      <c r="BA43" s="5"/>
      <c r="BB43" s="5"/>
    </row>
    <row r="44" ht="15.75" customHeight="1">
      <c r="A44" s="33">
        <v>43350.0</v>
      </c>
      <c r="B44" s="7" t="s">
        <v>68</v>
      </c>
      <c r="C44" s="7" t="s">
        <v>55</v>
      </c>
      <c r="D44" s="45" t="s">
        <v>133</v>
      </c>
      <c r="E44" s="26"/>
      <c r="F44" s="7" t="s">
        <v>56</v>
      </c>
      <c r="G44" s="6" t="s">
        <v>153</v>
      </c>
      <c r="H44" s="7">
        <v>-162.871</v>
      </c>
      <c r="I44" s="7">
        <v>11.967</v>
      </c>
      <c r="J44" s="47">
        <v>75.465</v>
      </c>
      <c r="K44" s="7">
        <v>70.1972</v>
      </c>
      <c r="L44" s="7">
        <v>73.321</v>
      </c>
      <c r="M44" s="5"/>
      <c r="N44" s="6" t="s">
        <v>154</v>
      </c>
      <c r="O44" s="5">
        <v>8.0</v>
      </c>
      <c r="P44" s="5">
        <v>330.0</v>
      </c>
      <c r="Q44" s="29">
        <f t="shared" si="13"/>
        <v>4.500756945</v>
      </c>
      <c r="R44" s="28">
        <v>-57.7738</v>
      </c>
      <c r="S44" s="28">
        <v>-40.1611</v>
      </c>
      <c r="T44" s="28">
        <v>29.7241</v>
      </c>
      <c r="U44" s="28">
        <v>69.8853</v>
      </c>
      <c r="V44" s="28">
        <v>0.395</v>
      </c>
      <c r="W44" s="28">
        <v>356.4453</v>
      </c>
      <c r="X44" s="28">
        <v>30.0943</v>
      </c>
      <c r="Y44" s="5"/>
      <c r="Z44" s="6" t="s">
        <v>155</v>
      </c>
      <c r="AA44" s="7">
        <v>10.0</v>
      </c>
      <c r="AB44" s="47">
        <f t="shared" si="14"/>
        <v>73.321</v>
      </c>
      <c r="AC44" s="7">
        <v>-58.9317792713301</v>
      </c>
      <c r="AD44" s="7">
        <v>130.0</v>
      </c>
      <c r="AE44" s="47">
        <f t="shared" si="15"/>
        <v>1.773025463</v>
      </c>
      <c r="AF44" s="7">
        <v>-36.8347176201951</v>
      </c>
      <c r="AG44" s="7">
        <v>21.6369633742488</v>
      </c>
      <c r="AH44" s="7">
        <v>205.993656948067</v>
      </c>
      <c r="AI44" s="7">
        <v>0.549999999999939</v>
      </c>
      <c r="AJ44" s="7">
        <v>-58.6547864672866</v>
      </c>
      <c r="AK44" s="7">
        <v>21.8200688470915</v>
      </c>
      <c r="AL44" s="7">
        <v>70.0</v>
      </c>
      <c r="AM44" s="7">
        <v>0.9138</v>
      </c>
      <c r="AN44" s="7">
        <v>479.35</v>
      </c>
      <c r="AO44" s="48">
        <f t="shared" si="16"/>
        <v>592.29</v>
      </c>
      <c r="AP44" s="5"/>
      <c r="AT44" s="5"/>
      <c r="AU44" s="5"/>
      <c r="AV44" s="5"/>
      <c r="AW44" s="5"/>
      <c r="AX44" s="5"/>
      <c r="AY44" s="5"/>
      <c r="AZ44" s="5"/>
      <c r="BA44" s="5"/>
      <c r="BB44" s="5"/>
    </row>
    <row r="45" ht="15.75" customHeight="1">
      <c r="A45" s="33">
        <v>43343.0</v>
      </c>
      <c r="B45" s="7" t="s">
        <v>54</v>
      </c>
      <c r="C45" s="7" t="s">
        <v>55</v>
      </c>
      <c r="D45" s="45" t="s">
        <v>133</v>
      </c>
      <c r="E45" s="26"/>
      <c r="F45" s="7" t="s">
        <v>56</v>
      </c>
      <c r="G45" s="6" t="s">
        <v>156</v>
      </c>
      <c r="H45" s="7">
        <v>-53.3</v>
      </c>
      <c r="I45" s="7">
        <v>13.555</v>
      </c>
      <c r="J45" s="47">
        <v>88.422</v>
      </c>
      <c r="K45" s="7">
        <v>80.29119999999999</v>
      </c>
      <c r="L45" s="7">
        <v>48.942600000000006</v>
      </c>
      <c r="M45" s="5"/>
      <c r="N45" s="6" t="s">
        <v>157</v>
      </c>
      <c r="O45" s="5">
        <v>5.0</v>
      </c>
      <c r="P45" s="5">
        <v>150.0</v>
      </c>
      <c r="Q45" s="29">
        <f t="shared" si="13"/>
        <v>3.064814701</v>
      </c>
      <c r="R45" s="28">
        <v>-59.2470465967115</v>
      </c>
      <c r="S45" s="28">
        <v>-43.9758310610614</v>
      </c>
      <c r="T45" s="28">
        <v>21.423340322599</v>
      </c>
      <c r="U45" s="28">
        <v>65.3991713836604</v>
      </c>
      <c r="V45" s="28">
        <v>0.459999999999997</v>
      </c>
      <c r="W45" s="28">
        <v>287.170416575009</v>
      </c>
      <c r="X45" s="28">
        <v>35.857938108419</v>
      </c>
      <c r="Y45" s="5"/>
      <c r="Z45" s="5" t="s">
        <v>158</v>
      </c>
      <c r="AA45" s="7">
        <v>10.0</v>
      </c>
      <c r="AB45" s="47">
        <f t="shared" si="14"/>
        <v>48.9426</v>
      </c>
      <c r="AC45" s="7">
        <v>-59.5262464477041</v>
      </c>
      <c r="AD45" s="7">
        <v>100.0</v>
      </c>
      <c r="AE45" s="47">
        <f t="shared" si="15"/>
        <v>2.043209801</v>
      </c>
      <c r="AF45" s="7">
        <v>-43.3959970637261</v>
      </c>
      <c r="AG45" s="7">
        <v>22.9797368417621</v>
      </c>
      <c r="AH45" s="7">
        <v>239.5629936359</v>
      </c>
      <c r="AI45" s="7">
        <v>0.599999999999934</v>
      </c>
      <c r="AJ45" s="7">
        <v>-54.962159431625</v>
      </c>
      <c r="AK45" s="7">
        <v>11.5661623678989</v>
      </c>
      <c r="AL45" s="7">
        <v>104.0</v>
      </c>
      <c r="AM45" s="7">
        <v>0.377</v>
      </c>
      <c r="AN45" s="7">
        <v>480.6</v>
      </c>
      <c r="AO45" s="48">
        <f t="shared" si="16"/>
        <v>593.54</v>
      </c>
      <c r="AP45" s="5"/>
      <c r="AT45" s="5"/>
      <c r="AU45" s="5"/>
      <c r="AV45" s="5"/>
      <c r="AW45" s="5"/>
      <c r="AX45" s="5"/>
      <c r="AY45" s="5"/>
      <c r="AZ45" s="5"/>
      <c r="BA45" s="5"/>
      <c r="BB45" s="5"/>
    </row>
    <row r="46" ht="15.75" customHeight="1">
      <c r="A46" s="33">
        <v>43343.0</v>
      </c>
      <c r="B46" s="7" t="s">
        <v>60</v>
      </c>
      <c r="C46" s="7" t="s">
        <v>55</v>
      </c>
      <c r="D46" s="45" t="s">
        <v>133</v>
      </c>
      <c r="E46" s="26"/>
      <c r="F46" s="7">
        <v>-51.1899</v>
      </c>
      <c r="G46" s="42" t="s">
        <v>159</v>
      </c>
      <c r="H46" s="7">
        <v>-27.153</v>
      </c>
      <c r="I46" s="7">
        <v>19.68</v>
      </c>
      <c r="J46" s="47">
        <v>167.697</v>
      </c>
      <c r="K46" s="7">
        <v>153.50655555555556</v>
      </c>
      <c r="L46" s="7">
        <v>38.54211111111111</v>
      </c>
      <c r="N46" s="5" t="s">
        <v>160</v>
      </c>
      <c r="O46" s="5">
        <v>7.0</v>
      </c>
      <c r="P46" s="5">
        <v>220.0</v>
      </c>
      <c r="Q46" s="29">
        <f t="shared" si="13"/>
        <v>5.708042286</v>
      </c>
      <c r="R46" s="28">
        <v>-61.9484939727979</v>
      </c>
      <c r="S46" s="28">
        <v>-37.322998881109</v>
      </c>
      <c r="T46" s="28">
        <v>29.3884283912576</v>
      </c>
      <c r="U46" s="28">
        <v>66.7114272723666</v>
      </c>
      <c r="V46" s="28">
        <v>0.555</v>
      </c>
      <c r="W46" s="28">
        <v>321.350104838985</v>
      </c>
      <c r="X46" s="28">
        <v>34.0127153037142</v>
      </c>
      <c r="Y46" s="5"/>
      <c r="Z46" s="5" t="s">
        <v>161</v>
      </c>
      <c r="AA46" s="7">
        <v>10.0</v>
      </c>
      <c r="AB46" s="47">
        <f t="shared" si="14"/>
        <v>38.54211111</v>
      </c>
      <c r="AC46" s="7">
        <v>-61.2912763943814</v>
      </c>
      <c r="AD46" s="7">
        <v>90.0</v>
      </c>
      <c r="AE46" s="47">
        <f t="shared" si="15"/>
        <v>2.335108208</v>
      </c>
      <c r="AF46" s="7">
        <v>-37.2009285658805</v>
      </c>
      <c r="AG46" s="7">
        <v>25.4821783039461</v>
      </c>
      <c r="AH46" s="7">
        <v>214.538579014061</v>
      </c>
      <c r="AI46" s="7">
        <v>0.700000000000034</v>
      </c>
      <c r="AJ46" s="7">
        <v>-48.5229503033225</v>
      </c>
      <c r="AK46" s="7">
        <v>11.3220217374419</v>
      </c>
      <c r="AL46" s="7">
        <v>53.0</v>
      </c>
      <c r="AM46" s="7">
        <v>0.3456</v>
      </c>
      <c r="AN46" s="7">
        <v>475.5</v>
      </c>
      <c r="AO46" s="48">
        <f t="shared" si="16"/>
        <v>588.44</v>
      </c>
    </row>
    <row r="47" ht="15.75" customHeight="1">
      <c r="A47" s="33">
        <v>43343.0</v>
      </c>
      <c r="B47" s="7" t="s">
        <v>64</v>
      </c>
      <c r="C47" s="7" t="s">
        <v>55</v>
      </c>
      <c r="D47" s="45" t="s">
        <v>133</v>
      </c>
      <c r="E47" s="26"/>
      <c r="F47" s="7" t="s">
        <v>56</v>
      </c>
      <c r="G47" s="6" t="s">
        <v>162</v>
      </c>
      <c r="H47" s="7">
        <v>-61.935</v>
      </c>
      <c r="I47" s="7">
        <v>14.244</v>
      </c>
      <c r="J47" s="47">
        <v>479.827</v>
      </c>
      <c r="K47" s="7">
        <v>285.32675</v>
      </c>
      <c r="L47" s="7">
        <v>41.23725</v>
      </c>
      <c r="N47" s="27" t="s">
        <v>163</v>
      </c>
      <c r="O47">
        <v>2.0</v>
      </c>
      <c r="P47" s="5">
        <v>120.0</v>
      </c>
      <c r="Q47" s="29">
        <f t="shared" si="13"/>
        <v>2.909990361</v>
      </c>
      <c r="R47" s="28">
        <v>-59.3881943112054</v>
      </c>
      <c r="S47" s="28">
        <v>-39.581299712836</v>
      </c>
      <c r="T47" s="28">
        <v>23.1018071569906</v>
      </c>
      <c r="U47" s="28">
        <v>62.6831068698266</v>
      </c>
      <c r="V47" s="28">
        <v>0.535</v>
      </c>
      <c r="W47" s="28">
        <v>279.8461976613</v>
      </c>
      <c r="X47" s="28">
        <v>31.9883986109208</v>
      </c>
      <c r="Y47" s="5"/>
      <c r="Z47" s="27" t="s">
        <v>164</v>
      </c>
      <c r="AA47" s="7">
        <v>10.0</v>
      </c>
      <c r="AB47" s="47">
        <f t="shared" si="14"/>
        <v>41.23725</v>
      </c>
      <c r="AC47" s="7">
        <v>-61.1639265380193</v>
      </c>
      <c r="AD47" s="7">
        <v>30.0</v>
      </c>
      <c r="AE47" s="47">
        <f t="shared" si="15"/>
        <v>0.7274975902</v>
      </c>
      <c r="AF47" s="7">
        <v>-35.3393562586462</v>
      </c>
      <c r="AG47" s="7">
        <v>28.5644537634653</v>
      </c>
      <c r="AH47" s="7">
        <v>242.00439994047</v>
      </c>
      <c r="AI47" s="7">
        <v>0.599999999999989</v>
      </c>
      <c r="AJ47" s="7">
        <v>-55.5419934289603</v>
      </c>
      <c r="AK47" s="7">
        <v>20.2026371703141</v>
      </c>
      <c r="AL47" s="7">
        <v>118.0</v>
      </c>
      <c r="AM47" s="7">
        <v>0.1748</v>
      </c>
      <c r="AN47" s="7">
        <v>379.2</v>
      </c>
      <c r="AO47" s="48">
        <f t="shared" si="16"/>
        <v>492.14</v>
      </c>
      <c r="AP47" s="5"/>
    </row>
    <row r="48" ht="15.75" customHeight="1">
      <c r="A48" s="33">
        <v>43343.0</v>
      </c>
      <c r="B48" s="7" t="s">
        <v>68</v>
      </c>
      <c r="C48" s="7" t="s">
        <v>55</v>
      </c>
      <c r="D48" s="45" t="s">
        <v>133</v>
      </c>
      <c r="E48" s="26"/>
      <c r="F48" s="7" t="s">
        <v>56</v>
      </c>
      <c r="G48" s="6" t="s">
        <v>165</v>
      </c>
      <c r="H48" s="7">
        <v>-106.834</v>
      </c>
      <c r="I48" s="7">
        <v>9.244</v>
      </c>
      <c r="J48" s="47">
        <v>129.053</v>
      </c>
      <c r="K48" s="7">
        <v>117.0415</v>
      </c>
      <c r="L48" s="7">
        <v>46.916199999999996</v>
      </c>
      <c r="N48" s="5" t="s">
        <v>166</v>
      </c>
      <c r="O48" s="5">
        <v>2.0</v>
      </c>
      <c r="P48" s="5">
        <v>220.0</v>
      </c>
      <c r="Q48" s="29">
        <f t="shared" si="13"/>
        <v>4.689211829</v>
      </c>
      <c r="R48" s="28">
        <v>-60.5742952241343</v>
      </c>
      <c r="S48" s="28">
        <v>-39.5507821340289</v>
      </c>
      <c r="T48" s="28">
        <v>34.8815925765394</v>
      </c>
      <c r="U48" s="28">
        <v>74.4323747105682</v>
      </c>
      <c r="V48" s="28">
        <v>0.48</v>
      </c>
      <c r="W48" s="28">
        <v>397.949227644859</v>
      </c>
      <c r="X48" s="28">
        <v>27.1042440009326</v>
      </c>
      <c r="Y48" s="5"/>
      <c r="Z48" s="5" t="s">
        <v>167</v>
      </c>
      <c r="AA48" s="7">
        <v>10.0</v>
      </c>
      <c r="AB48" s="47">
        <f t="shared" si="14"/>
        <v>46.9162</v>
      </c>
      <c r="AC48" s="7">
        <v>-60.7633222810181</v>
      </c>
      <c r="AD48" s="7">
        <v>110.0</v>
      </c>
      <c r="AE48" s="47">
        <f t="shared" si="15"/>
        <v>2.344605914</v>
      </c>
      <c r="AF48" s="7">
        <v>-35.6140144679103</v>
      </c>
      <c r="AG48" s="7">
        <v>23.4680181026761</v>
      </c>
      <c r="AH48" s="7">
        <v>195.312504365575</v>
      </c>
      <c r="AI48" s="7">
        <v>0.650000000000039</v>
      </c>
      <c r="AJ48" s="7">
        <v>-53.4973156488832</v>
      </c>
      <c r="AK48" s="7">
        <v>17.8833011809729</v>
      </c>
      <c r="AL48" s="7">
        <v>92.0</v>
      </c>
      <c r="AM48" s="7">
        <v>0.4497</v>
      </c>
      <c r="AN48" s="7">
        <v>475.85</v>
      </c>
      <c r="AO48" s="48">
        <f t="shared" si="16"/>
        <v>588.79</v>
      </c>
      <c r="AP48" s="5"/>
    </row>
    <row r="49" ht="15.75" customHeight="1">
      <c r="A49" s="33">
        <v>43343.0</v>
      </c>
      <c r="B49" s="7" t="s">
        <v>72</v>
      </c>
      <c r="C49" s="7" t="s">
        <v>55</v>
      </c>
      <c r="D49" s="45" t="s">
        <v>133</v>
      </c>
      <c r="E49" s="26"/>
      <c r="F49" s="7" t="s">
        <v>56</v>
      </c>
      <c r="G49" s="6" t="s">
        <v>168</v>
      </c>
      <c r="H49" s="7">
        <v>-83.282</v>
      </c>
      <c r="I49" s="7">
        <v>10.281</v>
      </c>
      <c r="J49" s="47">
        <v>110.046</v>
      </c>
      <c r="K49" s="7">
        <v>98.26283333333333</v>
      </c>
      <c r="L49" s="7">
        <v>71.69083333333333</v>
      </c>
      <c r="N49" s="5" t="s">
        <v>169</v>
      </c>
      <c r="O49" s="28">
        <v>5.0</v>
      </c>
      <c r="P49" s="28">
        <v>350.0</v>
      </c>
      <c r="Q49" s="29">
        <f t="shared" si="13"/>
        <v>4.882074649</v>
      </c>
      <c r="R49" s="28">
        <v>-57.0908466286456</v>
      </c>
      <c r="S49" s="28">
        <v>-37.2314461446877</v>
      </c>
      <c r="T49" s="28">
        <v>38.4826668757796</v>
      </c>
      <c r="U49" s="28">
        <v>75.7141130204673</v>
      </c>
      <c r="V49" s="28">
        <v>0.525</v>
      </c>
      <c r="W49" s="28">
        <v>395.81299712836</v>
      </c>
      <c r="X49" s="28">
        <v>31.5120364765039</v>
      </c>
      <c r="Y49" s="5"/>
      <c r="Z49" s="40" t="s">
        <v>170</v>
      </c>
      <c r="AA49" s="7">
        <v>10.0</v>
      </c>
      <c r="AB49" s="47">
        <f t="shared" si="14"/>
        <v>71.69083333</v>
      </c>
      <c r="AC49" s="7">
        <v>-59.6860517491272</v>
      </c>
      <c r="AD49" s="7">
        <v>100.0</v>
      </c>
      <c r="AE49" s="47">
        <f t="shared" si="15"/>
        <v>1.394878471</v>
      </c>
      <c r="AF49" s="7">
        <v>-36.2548836228598</v>
      </c>
      <c r="AG49" s="7">
        <v>33.9355476335186</v>
      </c>
      <c r="AH49" s="7">
        <v>278.625494509015</v>
      </c>
      <c r="AI49" s="7">
        <v>0.650000000000039</v>
      </c>
      <c r="AJ49" s="7">
        <v>-51.94091912972</v>
      </c>
      <c r="AK49" s="7">
        <v>15.6860355068602</v>
      </c>
      <c r="AL49" s="7">
        <v>72.0</v>
      </c>
      <c r="AM49" s="7">
        <v>0.2893</v>
      </c>
      <c r="AN49" s="7">
        <v>403.15</v>
      </c>
      <c r="AO49" s="48">
        <f t="shared" si="16"/>
        <v>516.09</v>
      </c>
      <c r="AP49" s="5"/>
    </row>
    <row r="50" ht="15.75" customHeight="1">
      <c r="A50" s="33">
        <v>43343.0</v>
      </c>
      <c r="B50" s="34" t="s">
        <v>98</v>
      </c>
      <c r="C50" s="7" t="s">
        <v>55</v>
      </c>
      <c r="D50" s="45" t="s">
        <v>133</v>
      </c>
      <c r="E50" s="26"/>
      <c r="F50" s="7" t="s">
        <v>56</v>
      </c>
      <c r="G50" s="6" t="s">
        <v>171</v>
      </c>
      <c r="H50" s="7">
        <v>-176.411</v>
      </c>
      <c r="I50" s="7">
        <v>8.763</v>
      </c>
      <c r="J50" s="47">
        <v>69.05</v>
      </c>
      <c r="K50" s="7">
        <v>63.98799999999999</v>
      </c>
      <c r="L50" s="7">
        <v>86.45533333333333</v>
      </c>
      <c r="N50" s="5" t="s">
        <v>172</v>
      </c>
      <c r="O50" s="28">
        <v>12.0</v>
      </c>
      <c r="P50" s="28">
        <v>520.0</v>
      </c>
      <c r="Q50" s="29">
        <f t="shared" si="13"/>
        <v>6.014666533</v>
      </c>
      <c r="R50" s="28">
        <v>-59.5883426780586</v>
      </c>
      <c r="S50" s="28">
        <v>-30.3344733342783</v>
      </c>
      <c r="T50" s="28">
        <v>32.1350104838985</v>
      </c>
      <c r="U50" s="28">
        <v>62.4694838181768</v>
      </c>
      <c r="V50" s="28">
        <v>0.449999999999999</v>
      </c>
      <c r="W50" s="28">
        <v>319.519050110557</v>
      </c>
      <c r="X50" s="28">
        <v>10.426729541148</v>
      </c>
      <c r="Y50" s="5"/>
      <c r="Z50" s="5" t="s">
        <v>173</v>
      </c>
      <c r="AA50" s="7">
        <v>10.0</v>
      </c>
      <c r="AB50" s="47">
        <f t="shared" si="14"/>
        <v>86.45533333</v>
      </c>
      <c r="AC50" s="7">
        <v>-60.4390577474029</v>
      </c>
      <c r="AD50" s="7">
        <v>120.0</v>
      </c>
      <c r="AE50" s="47">
        <f t="shared" si="15"/>
        <v>1.387999969</v>
      </c>
      <c r="AF50" s="7">
        <v>-30.5786139647353</v>
      </c>
      <c r="AG50" s="7">
        <v>23.437500523869</v>
      </c>
      <c r="AH50" s="7">
        <v>187.377933875723</v>
      </c>
      <c r="AI50" s="7">
        <v>0.600000000000045</v>
      </c>
      <c r="AJ50" s="7">
        <v>-51.1474620807349</v>
      </c>
      <c r="AK50" s="7">
        <v>20.5688481159996</v>
      </c>
      <c r="AL50" s="7">
        <v>29.0</v>
      </c>
      <c r="AM50" s="7" t="s">
        <v>56</v>
      </c>
      <c r="AN50" s="7">
        <v>350.45</v>
      </c>
      <c r="AO50" s="48">
        <f t="shared" si="16"/>
        <v>463.39</v>
      </c>
      <c r="AP50" s="5"/>
    </row>
    <row r="51" ht="15.75" customHeight="1">
      <c r="A51" s="33">
        <v>43343.0</v>
      </c>
      <c r="B51" s="7" t="s">
        <v>102</v>
      </c>
      <c r="C51" s="7" t="s">
        <v>55</v>
      </c>
      <c r="D51" s="45" t="s">
        <v>133</v>
      </c>
      <c r="E51" s="26"/>
      <c r="F51" s="7">
        <v>-43.1899</v>
      </c>
      <c r="G51" s="42" t="s">
        <v>174</v>
      </c>
      <c r="H51" s="7">
        <v>-198.821</v>
      </c>
      <c r="I51" s="7">
        <v>7.784</v>
      </c>
      <c r="J51" s="47">
        <v>47.894</v>
      </c>
      <c r="K51" s="7">
        <v>48.937333333333335</v>
      </c>
      <c r="L51" s="7">
        <v>102.42066666666666</v>
      </c>
      <c r="N51" s="5" t="s">
        <v>175</v>
      </c>
      <c r="O51" s="28">
        <v>10.0</v>
      </c>
      <c r="P51" s="28">
        <v>600.0</v>
      </c>
      <c r="Q51" s="29">
        <f t="shared" si="13"/>
        <v>5.858192682</v>
      </c>
      <c r="R51" s="28">
        <v>-59.3403834377406</v>
      </c>
      <c r="S51" s="28">
        <v>-38.4826668757796</v>
      </c>
      <c r="T51" s="28">
        <v>28.4729010270439</v>
      </c>
      <c r="U51" s="28">
        <v>66.9555679028236</v>
      </c>
      <c r="V51" s="28">
        <v>0.365</v>
      </c>
      <c r="W51" s="28">
        <v>342.102058427827</v>
      </c>
      <c r="X51" s="28">
        <v>16.8754095257699</v>
      </c>
      <c r="Y51" s="5"/>
      <c r="Z51" s="6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47"/>
      <c r="AP51" s="7"/>
    </row>
    <row r="52" ht="15.75" customHeight="1">
      <c r="A52" s="33">
        <v>43341.0</v>
      </c>
      <c r="B52" s="7" t="s">
        <v>137</v>
      </c>
      <c r="C52" s="7" t="s">
        <v>55</v>
      </c>
      <c r="D52" s="45" t="s">
        <v>133</v>
      </c>
      <c r="E52" s="26"/>
      <c r="F52" s="7">
        <v>-55.1039</v>
      </c>
      <c r="G52" s="42" t="s">
        <v>176</v>
      </c>
      <c r="H52" s="7">
        <v>-102.856</v>
      </c>
      <c r="I52" s="7">
        <v>8.449</v>
      </c>
      <c r="J52" s="47">
        <v>178.512</v>
      </c>
      <c r="K52" s="7">
        <v>123.9455</v>
      </c>
      <c r="L52" s="7">
        <v>71.115125</v>
      </c>
      <c r="N52" s="5" t="s">
        <v>177</v>
      </c>
      <c r="O52" s="5">
        <v>4.0</v>
      </c>
      <c r="P52" s="5">
        <v>140.0</v>
      </c>
      <c r="Q52" s="29">
        <f t="shared" si="13"/>
        <v>1.96863888</v>
      </c>
      <c r="R52" s="28">
        <v>-59.2293307509633</v>
      </c>
      <c r="S52" s="28">
        <v>-41.9006357021772</v>
      </c>
      <c r="T52" s="28">
        <v>32.1044929050913</v>
      </c>
      <c r="U52" s="28">
        <v>74.0051286072685</v>
      </c>
      <c r="V52" s="28">
        <v>0.510000000000002</v>
      </c>
      <c r="W52" s="28">
        <v>268.249517714594</v>
      </c>
      <c r="X52" s="28">
        <v>42.4963096117985</v>
      </c>
      <c r="Y52" s="5"/>
      <c r="Z52" s="5" t="s">
        <v>178</v>
      </c>
      <c r="AA52" s="7">
        <v>10.0</v>
      </c>
      <c r="AB52" s="47">
        <f t="shared" ref="AB52:AB63" si="17">L52</f>
        <v>71.115125</v>
      </c>
      <c r="AC52" s="7">
        <v>-62.0811171102779</v>
      </c>
      <c r="AD52" s="7">
        <v>60.0</v>
      </c>
      <c r="AE52" s="47">
        <f t="shared" ref="AE52:AE63" si="18">AD52/AB52</f>
        <v>0.843702377</v>
      </c>
      <c r="AF52" s="7">
        <v>-37.4145516175304</v>
      </c>
      <c r="AG52" s="7">
        <v>32.5622565871982</v>
      </c>
      <c r="AH52" s="7">
        <v>159.606937161243</v>
      </c>
      <c r="AI52" s="7">
        <v>0.850000000000017</v>
      </c>
      <c r="AJ52" s="7">
        <v>-55.0537121680464</v>
      </c>
      <c r="AK52" s="7">
        <v>17.639160550516</v>
      </c>
      <c r="AL52" s="7">
        <v>53.0</v>
      </c>
      <c r="AM52" s="7">
        <v>0.1596</v>
      </c>
      <c r="AN52" s="7">
        <v>309.95</v>
      </c>
      <c r="AO52" s="47">
        <f t="shared" ref="AO52:AO63" si="19">AN52+112.94</f>
        <v>422.89</v>
      </c>
    </row>
    <row r="53" ht="15.75" customHeight="1">
      <c r="A53" s="33">
        <v>43341.0</v>
      </c>
      <c r="B53" s="7" t="s">
        <v>60</v>
      </c>
      <c r="C53" s="7" t="s">
        <v>55</v>
      </c>
      <c r="D53" s="45" t="s">
        <v>133</v>
      </c>
      <c r="E53" s="26"/>
      <c r="F53" s="7">
        <v>-48.2692</v>
      </c>
      <c r="G53" s="42" t="s">
        <v>179</v>
      </c>
      <c r="H53" s="7">
        <v>-205.018</v>
      </c>
      <c r="I53" s="7">
        <v>6.264</v>
      </c>
      <c r="J53" s="47">
        <v>55.38</v>
      </c>
      <c r="K53" s="7">
        <v>49.9615</v>
      </c>
      <c r="L53" s="7">
        <v>102.95100000000001</v>
      </c>
      <c r="N53" s="27" t="s">
        <v>180</v>
      </c>
      <c r="O53" s="28">
        <v>9.0</v>
      </c>
      <c r="P53" s="28">
        <v>590.0</v>
      </c>
      <c r="Q53" s="29">
        <f t="shared" si="13"/>
        <v>5.730881682</v>
      </c>
      <c r="R53" s="28">
        <v>-59.0006993105557</v>
      </c>
      <c r="S53" s="28">
        <v>-35.6750496255245</v>
      </c>
      <c r="T53" s="28">
        <v>39.1235360307292</v>
      </c>
      <c r="U53" s="28">
        <v>74.7985856562537</v>
      </c>
      <c r="V53" s="28">
        <v>0.334999999999999</v>
      </c>
      <c r="W53" s="28">
        <v>498.046886132215</v>
      </c>
      <c r="X53" s="28">
        <v>31.5269227094346</v>
      </c>
      <c r="Y53" s="5"/>
      <c r="Z53" s="5" t="s">
        <v>181</v>
      </c>
      <c r="AA53" s="7">
        <v>10.0</v>
      </c>
      <c r="AB53" s="47">
        <f t="shared" si="17"/>
        <v>102.951</v>
      </c>
      <c r="AC53" s="7">
        <v>-57.6384900578528</v>
      </c>
      <c r="AD53" s="7">
        <v>230.0</v>
      </c>
      <c r="AE53" s="47">
        <f t="shared" si="18"/>
        <v>2.23407252</v>
      </c>
      <c r="AF53" s="7">
        <v>-34.5153816308539</v>
      </c>
      <c r="AG53" s="7">
        <v>33.3862312149904</v>
      </c>
      <c r="AH53" s="7">
        <v>346.984871036966</v>
      </c>
      <c r="AI53" s="7">
        <v>0.450000000000006</v>
      </c>
      <c r="AJ53" s="7">
        <v>-50.2929698741355</v>
      </c>
      <c r="AK53" s="7">
        <v>15.7775882432816</v>
      </c>
      <c r="AL53" s="7">
        <v>39.0</v>
      </c>
      <c r="AM53" s="7">
        <v>0.5075</v>
      </c>
      <c r="AN53" s="7">
        <v>239.65</v>
      </c>
      <c r="AO53" s="47">
        <f t="shared" si="19"/>
        <v>352.59</v>
      </c>
    </row>
    <row r="54" ht="15.75" customHeight="1">
      <c r="A54" s="33">
        <v>43341.0</v>
      </c>
      <c r="B54" s="7" t="s">
        <v>64</v>
      </c>
      <c r="C54" s="7" t="s">
        <v>55</v>
      </c>
      <c r="D54" s="45" t="s">
        <v>133</v>
      </c>
      <c r="E54" s="26"/>
      <c r="F54" s="7" t="s">
        <v>56</v>
      </c>
      <c r="G54" s="6" t="s">
        <v>182</v>
      </c>
      <c r="H54" s="7">
        <v>-134.435</v>
      </c>
      <c r="I54" s="7">
        <v>13.511</v>
      </c>
      <c r="J54" s="47">
        <v>90.316</v>
      </c>
      <c r="K54" s="7">
        <v>85.52828571428573</v>
      </c>
      <c r="L54" s="7">
        <v>68.02314285714286</v>
      </c>
      <c r="N54" s="6" t="s">
        <v>183</v>
      </c>
      <c r="O54" s="28">
        <v>7.0</v>
      </c>
      <c r="P54" s="28">
        <v>370.0</v>
      </c>
      <c r="Q54" s="29">
        <f t="shared" si="13"/>
        <v>5.439325272</v>
      </c>
      <c r="R54" s="28">
        <v>-59.0601381640484</v>
      </c>
      <c r="S54" s="28">
        <v>-38.2385262453227</v>
      </c>
      <c r="T54" s="28">
        <v>34.6679695248895</v>
      </c>
      <c r="U54" s="28">
        <v>72.9064957702122</v>
      </c>
      <c r="V54" s="28">
        <v>0.525</v>
      </c>
      <c r="W54" s="28">
        <v>353.393562586462</v>
      </c>
      <c r="X54" s="28">
        <v>35.2823521395887</v>
      </c>
      <c r="Y54" s="5"/>
      <c r="Z54" s="27" t="s">
        <v>184</v>
      </c>
      <c r="AA54" s="7">
        <v>10.0</v>
      </c>
      <c r="AB54" s="47">
        <f t="shared" si="17"/>
        <v>68.02314286</v>
      </c>
      <c r="AC54" s="7">
        <v>-58.894166355451</v>
      </c>
      <c r="AD54" s="7">
        <v>100.0</v>
      </c>
      <c r="AE54" s="47">
        <f t="shared" si="18"/>
        <v>1.470087911</v>
      </c>
      <c r="AF54" s="7">
        <v>-38.2690438241298</v>
      </c>
      <c r="AG54" s="7">
        <v>28.5949713422724</v>
      </c>
      <c r="AH54" s="7">
        <v>242.309575728541</v>
      </c>
      <c r="AI54" s="7">
        <v>0.700000000000034</v>
      </c>
      <c r="AJ54" s="7">
        <v>-51.5441906052274</v>
      </c>
      <c r="AK54" s="7">
        <v>13.2751467810977</v>
      </c>
      <c r="AL54" s="7">
        <v>67.0</v>
      </c>
      <c r="AM54" s="7">
        <v>0.26</v>
      </c>
      <c r="AN54" s="7">
        <v>340.65</v>
      </c>
      <c r="AO54" s="47">
        <f t="shared" si="19"/>
        <v>453.59</v>
      </c>
    </row>
    <row r="55" ht="15.75" customHeight="1">
      <c r="A55" s="33">
        <v>43341.0</v>
      </c>
      <c r="B55" s="7" t="s">
        <v>68</v>
      </c>
      <c r="C55" s="7" t="s">
        <v>55</v>
      </c>
      <c r="D55" s="45" t="s">
        <v>133</v>
      </c>
      <c r="E55" s="26"/>
      <c r="F55" s="7">
        <v>-45.9183</v>
      </c>
      <c r="G55" s="6" t="s">
        <v>185</v>
      </c>
      <c r="H55" s="7">
        <v>-146.037</v>
      </c>
      <c r="I55" s="7">
        <v>11.438</v>
      </c>
      <c r="J55" s="47">
        <v>75.659</v>
      </c>
      <c r="K55" s="7">
        <v>73.85083333333334</v>
      </c>
      <c r="L55" s="7">
        <v>59.469500000000004</v>
      </c>
      <c r="N55" s="6" t="s">
        <v>186</v>
      </c>
      <c r="O55" s="28">
        <v>12.0</v>
      </c>
      <c r="P55" s="28">
        <v>520.0</v>
      </c>
      <c r="Q55" s="29">
        <f t="shared" si="13"/>
        <v>8.743978006</v>
      </c>
      <c r="R55" s="28">
        <v>-58.8036966018245</v>
      </c>
      <c r="S55" s="28">
        <v>-34.8815925765394</v>
      </c>
      <c r="T55" s="28">
        <v>34.7290046825037</v>
      </c>
      <c r="U55" s="28">
        <v>69.6105972590431</v>
      </c>
      <c r="V55" s="28">
        <v>0.344999999999999</v>
      </c>
      <c r="W55" s="28">
        <v>432.739267484977</v>
      </c>
      <c r="X55" s="28">
        <v>24.8013354717106</v>
      </c>
      <c r="Y55" s="5"/>
      <c r="Z55" s="6" t="s">
        <v>187</v>
      </c>
      <c r="AA55" s="7">
        <v>10.0</v>
      </c>
      <c r="AB55" s="47">
        <f t="shared" si="17"/>
        <v>59.4695</v>
      </c>
      <c r="AC55" s="7">
        <v>-60.0270856922968</v>
      </c>
      <c r="AD55" s="7">
        <v>290.0</v>
      </c>
      <c r="AE55" s="47">
        <f t="shared" si="18"/>
        <v>4.876449272</v>
      </c>
      <c r="AF55" s="7">
        <v>-32.5012214295839</v>
      </c>
      <c r="AG55" s="7">
        <v>25.6347661979817</v>
      </c>
      <c r="AH55" s="7">
        <v>252.07520094682</v>
      </c>
      <c r="AI55" s="7">
        <v>0.499999999999945</v>
      </c>
      <c r="AJ55" s="7">
        <v>-52.3376476542126</v>
      </c>
      <c r="AK55" s="7">
        <v>19.8364262246287</v>
      </c>
      <c r="AL55" s="7">
        <v>40.0</v>
      </c>
      <c r="AM55" s="7">
        <v>1.0323</v>
      </c>
      <c r="AN55" s="7">
        <v>387.85</v>
      </c>
      <c r="AO55" s="47">
        <f t="shared" si="19"/>
        <v>500.79</v>
      </c>
    </row>
    <row r="56" ht="15.75" customHeight="1">
      <c r="A56" s="33">
        <v>42949.0</v>
      </c>
      <c r="B56" s="7" t="s">
        <v>137</v>
      </c>
      <c r="C56" s="7" t="s">
        <v>188</v>
      </c>
      <c r="D56" s="45" t="s">
        <v>133</v>
      </c>
      <c r="E56" s="26"/>
      <c r="F56" s="7" t="s">
        <v>56</v>
      </c>
      <c r="G56" s="6">
        <v>1.7802026E7</v>
      </c>
      <c r="H56" s="34">
        <v>-10.213</v>
      </c>
      <c r="I56" s="34">
        <v>7.646</v>
      </c>
      <c r="J56" s="47">
        <v>194.919</v>
      </c>
      <c r="K56" s="7">
        <v>181.0392</v>
      </c>
      <c r="L56" s="7">
        <v>77.8396</v>
      </c>
      <c r="N56" s="6">
        <v>1.7802027E7</v>
      </c>
      <c r="O56" s="5">
        <v>17.0</v>
      </c>
      <c r="P56" s="5">
        <v>170.0</v>
      </c>
      <c r="Q56" s="29">
        <f t="shared" si="13"/>
        <v>2.183978335</v>
      </c>
      <c r="R56" s="28">
        <v>-59.5965432992349</v>
      </c>
      <c r="S56" s="28">
        <v>-39.5507821340289</v>
      </c>
      <c r="T56" s="28">
        <v>37.3840340387233</v>
      </c>
      <c r="U56" s="28">
        <v>76.9348161727521</v>
      </c>
      <c r="V56" s="28">
        <v>0.459999999999997</v>
      </c>
      <c r="W56" s="28">
        <v>390.625008731149</v>
      </c>
      <c r="X56" s="28">
        <v>26.2172769839981</v>
      </c>
      <c r="Y56" s="5"/>
      <c r="Z56" s="40" t="s">
        <v>189</v>
      </c>
      <c r="AA56" s="7">
        <v>10.0</v>
      </c>
      <c r="AB56" s="47">
        <f t="shared" si="17"/>
        <v>77.8396</v>
      </c>
      <c r="AC56" s="7">
        <v>-57.1260388745238</v>
      </c>
      <c r="AD56" s="7">
        <v>20.0</v>
      </c>
      <c r="AE56" s="47">
        <f t="shared" si="18"/>
        <v>0.2569386276</v>
      </c>
      <c r="AF56" s="7">
        <v>-37.7197274056016</v>
      </c>
      <c r="AG56" s="7">
        <v>35.2783211010319</v>
      </c>
      <c r="AH56" s="7">
        <v>308.532721739994</v>
      </c>
      <c r="AI56" s="7">
        <v>0.549999999999995</v>
      </c>
      <c r="AJ56" s="7">
        <v>-54.4738781707111</v>
      </c>
      <c r="AK56" s="7">
        <v>16.7541507651095</v>
      </c>
      <c r="AL56" s="7">
        <v>25.0</v>
      </c>
      <c r="AM56" s="7">
        <v>0.2648</v>
      </c>
      <c r="AN56" s="7">
        <v>118.45</v>
      </c>
      <c r="AO56" s="47">
        <f t="shared" si="19"/>
        <v>231.39</v>
      </c>
    </row>
    <row r="57" ht="15.75" customHeight="1">
      <c r="A57" s="33">
        <v>42949.0</v>
      </c>
      <c r="B57" s="7" t="s">
        <v>64</v>
      </c>
      <c r="C57" s="7" t="s">
        <v>188</v>
      </c>
      <c r="D57" s="45" t="s">
        <v>133</v>
      </c>
      <c r="E57" s="26"/>
      <c r="F57" s="7" t="s">
        <v>56</v>
      </c>
      <c r="G57" s="42" t="s">
        <v>190</v>
      </c>
      <c r="H57" s="7">
        <v>-17.926</v>
      </c>
      <c r="I57" s="7">
        <v>16.801</v>
      </c>
      <c r="J57" s="47">
        <v>157.984</v>
      </c>
      <c r="K57" s="7">
        <v>137.98928571428573</v>
      </c>
      <c r="L57" s="7">
        <v>53.50264285714285</v>
      </c>
      <c r="N57" s="27" t="s">
        <v>191</v>
      </c>
      <c r="O57" s="5">
        <v>19.0</v>
      </c>
      <c r="P57" s="5">
        <v>190.0</v>
      </c>
      <c r="Q57" s="29">
        <f t="shared" si="13"/>
        <v>3.551226441</v>
      </c>
      <c r="R57" s="28">
        <v>-60.201</v>
      </c>
      <c r="S57" s="28">
        <v>-39.7644</v>
      </c>
      <c r="T57" s="28">
        <v>15.9302</v>
      </c>
      <c r="U57" s="28">
        <v>55.6946</v>
      </c>
      <c r="V57" s="28">
        <v>0.48</v>
      </c>
      <c r="W57" s="28">
        <v>254.5166</v>
      </c>
      <c r="X57" s="28">
        <v>35.2068</v>
      </c>
      <c r="Y57" s="5"/>
      <c r="Z57" s="6">
        <v>1.7802048E7</v>
      </c>
      <c r="AA57" s="7">
        <v>10.0</v>
      </c>
      <c r="AB57" s="47">
        <f t="shared" si="17"/>
        <v>53.50264286</v>
      </c>
      <c r="AC57" s="7">
        <v>-58.9355939686812</v>
      </c>
      <c r="AD57" s="7">
        <v>40.0</v>
      </c>
      <c r="AE57" s="47">
        <f t="shared" si="18"/>
        <v>0.7476266192</v>
      </c>
      <c r="AF57" s="7">
        <v>-38.7268075062366</v>
      </c>
      <c r="AG57" s="7">
        <v>23.193359893412</v>
      </c>
      <c r="AH57" s="7">
        <v>238.647466271687</v>
      </c>
      <c r="AI57" s="7">
        <v>0.549999999999995</v>
      </c>
      <c r="AJ57" s="7">
        <v>-57.0678723693164</v>
      </c>
      <c r="AK57" s="7">
        <v>18.3410648630798</v>
      </c>
      <c r="AL57" s="7">
        <v>59.0</v>
      </c>
      <c r="AM57" s="7">
        <v>0.5732</v>
      </c>
      <c r="AN57" s="7">
        <v>347.55</v>
      </c>
      <c r="AO57" s="47">
        <f t="shared" si="19"/>
        <v>460.49</v>
      </c>
    </row>
    <row r="58" ht="15.75" customHeight="1">
      <c r="A58" s="33">
        <v>42963.0</v>
      </c>
      <c r="B58" s="7" t="s">
        <v>116</v>
      </c>
      <c r="C58" s="7" t="s">
        <v>114</v>
      </c>
      <c r="D58" s="45" t="s">
        <v>133</v>
      </c>
      <c r="E58" s="26"/>
      <c r="F58" s="7" t="s">
        <v>56</v>
      </c>
      <c r="G58" s="6">
        <v>1.7816021E7</v>
      </c>
      <c r="H58">
        <v>-85.5655</v>
      </c>
      <c r="I58">
        <v>11.1427</v>
      </c>
      <c r="J58" s="32">
        <v>90.8698</v>
      </c>
      <c r="K58" s="7">
        <v>94.36005555555556</v>
      </c>
      <c r="L58" s="7">
        <v>42.6988111111111</v>
      </c>
      <c r="N58" s="40" t="s">
        <v>192</v>
      </c>
      <c r="O58" s="28">
        <v>22.0</v>
      </c>
      <c r="P58" s="28">
        <v>220.0</v>
      </c>
      <c r="Q58" s="29">
        <f t="shared" si="13"/>
        <v>5.152368281</v>
      </c>
      <c r="R58" s="28">
        <v>-58.5430921288522</v>
      </c>
      <c r="S58" s="28">
        <v>-37.322998881109</v>
      </c>
      <c r="T58" s="28">
        <v>27.6184088204445</v>
      </c>
      <c r="U58" s="28">
        <v>64.9414077015536</v>
      </c>
      <c r="V58" s="28">
        <v>0.41</v>
      </c>
      <c r="W58" s="28">
        <v>272.827154535662</v>
      </c>
      <c r="X58" s="28">
        <v>22.7717858626742</v>
      </c>
      <c r="Y58" s="5"/>
      <c r="Z58" s="40" t="s">
        <v>193</v>
      </c>
      <c r="AA58" s="7">
        <v>5.0</v>
      </c>
      <c r="AB58" s="47">
        <f t="shared" si="17"/>
        <v>42.69881111</v>
      </c>
      <c r="AC58" s="7">
        <v>-60.302857793187</v>
      </c>
      <c r="AD58" s="7">
        <v>95.0</v>
      </c>
      <c r="AE58" s="47">
        <f t="shared" si="18"/>
        <v>2.224886303</v>
      </c>
      <c r="AF58" s="7">
        <v>-34.6984871036966</v>
      </c>
      <c r="AG58" s="7">
        <v>25.2685552522962</v>
      </c>
      <c r="AH58" s="7">
        <v>206.604008524209</v>
      </c>
      <c r="AI58" s="7">
        <v>0.499999999999945</v>
      </c>
      <c r="AJ58" s="7">
        <v>-55.5419934289603</v>
      </c>
      <c r="AK58" s="7">
        <v>20.8435063252637</v>
      </c>
      <c r="AL58" s="7">
        <v>45.0</v>
      </c>
      <c r="AM58" s="7">
        <v>0.3576</v>
      </c>
      <c r="AN58" s="7">
        <v>243.05</v>
      </c>
      <c r="AO58" s="47">
        <f t="shared" si="19"/>
        <v>355.99</v>
      </c>
    </row>
    <row r="59" ht="15.75" customHeight="1">
      <c r="A59" s="33">
        <v>42963.0</v>
      </c>
      <c r="B59" s="7" t="s">
        <v>121</v>
      </c>
      <c r="C59" s="7" t="s">
        <v>114</v>
      </c>
      <c r="D59" s="45" t="s">
        <v>133</v>
      </c>
      <c r="E59" s="26"/>
      <c r="F59" s="7" t="s">
        <v>56</v>
      </c>
      <c r="G59" s="6">
        <v>1.7816053E7</v>
      </c>
      <c r="H59">
        <v>-77.1767</v>
      </c>
      <c r="I59" s="5">
        <v>16.0204</v>
      </c>
      <c r="J59" s="32">
        <v>158.753</v>
      </c>
      <c r="K59" s="7">
        <v>163.76236666666668</v>
      </c>
      <c r="L59" s="7">
        <v>38.87276666666667</v>
      </c>
      <c r="N59" s="6">
        <v>1.7816054E7</v>
      </c>
      <c r="O59" s="5">
        <v>28.0</v>
      </c>
      <c r="P59" s="5">
        <v>280.0</v>
      </c>
      <c r="Q59" s="29">
        <f t="shared" si="13"/>
        <v>7.202986152</v>
      </c>
      <c r="R59" s="28">
        <v>-61.7640895466028</v>
      </c>
      <c r="S59" s="28">
        <v>-36.6210945685452</v>
      </c>
      <c r="T59" s="28">
        <v>21.2402348497562</v>
      </c>
      <c r="U59" s="28">
        <v>57.8613294183015</v>
      </c>
      <c r="V59" s="28">
        <v>0.515000000000001</v>
      </c>
      <c r="W59" s="28">
        <v>259.399419860529</v>
      </c>
      <c r="X59" s="28">
        <v>32.5898831977852</v>
      </c>
      <c r="Y59" s="5"/>
      <c r="Z59" s="6">
        <v>1.7816052E7</v>
      </c>
      <c r="AA59" s="7">
        <v>5.0</v>
      </c>
      <c r="AB59" s="47">
        <f t="shared" si="17"/>
        <v>38.87276667</v>
      </c>
      <c r="AC59" s="7">
        <v>-62.786958190508</v>
      </c>
      <c r="AD59" s="7">
        <v>95.0</v>
      </c>
      <c r="AE59" s="47">
        <f t="shared" si="18"/>
        <v>2.443870302</v>
      </c>
      <c r="AF59" s="7">
        <v>-33.020020269305</v>
      </c>
      <c r="AG59" s="7">
        <v>22.6745610536909</v>
      </c>
      <c r="AH59" s="7">
        <v>171.50879289602</v>
      </c>
      <c r="AI59" s="7">
        <v>0.649999999999984</v>
      </c>
      <c r="AJ59" s="7">
        <v>-49.3774425099219</v>
      </c>
      <c r="AK59" s="7">
        <v>16.3574222406169</v>
      </c>
      <c r="AL59" s="7">
        <v>36.0</v>
      </c>
      <c r="AM59" s="7">
        <v>0.47</v>
      </c>
      <c r="AN59" s="7">
        <v>333.65</v>
      </c>
      <c r="AO59" s="47">
        <f t="shared" si="19"/>
        <v>446.59</v>
      </c>
    </row>
    <row r="60" ht="15.75" customHeight="1">
      <c r="A60" s="33">
        <v>42970.0</v>
      </c>
      <c r="B60" s="7" t="s">
        <v>194</v>
      </c>
      <c r="C60" s="7" t="s">
        <v>188</v>
      </c>
      <c r="D60" s="45" t="s">
        <v>133</v>
      </c>
      <c r="E60" s="26"/>
      <c r="F60" s="7" t="s">
        <v>56</v>
      </c>
      <c r="G60" s="6">
        <v>1.7823076E7</v>
      </c>
      <c r="H60" s="7">
        <v>-108.0</v>
      </c>
      <c r="I60" s="5">
        <v>20.318</v>
      </c>
      <c r="J60" s="27">
        <v>216.117</v>
      </c>
      <c r="K60" s="7">
        <v>203.27849999999998</v>
      </c>
      <c r="L60" s="7">
        <v>57.25858333333333</v>
      </c>
      <c r="N60" s="6">
        <v>1.7823077E7</v>
      </c>
      <c r="O60" s="5">
        <v>12.0</v>
      </c>
      <c r="P60" s="5">
        <v>120.0</v>
      </c>
      <c r="Q60" s="29">
        <f t="shared" si="13"/>
        <v>2.095755658</v>
      </c>
      <c r="R60" s="5">
        <v>-59.7361</v>
      </c>
      <c r="S60" s="5">
        <v>-41.9312</v>
      </c>
      <c r="T60" s="5">
        <v>31.2805</v>
      </c>
      <c r="U60" s="5">
        <v>73.2117</v>
      </c>
      <c r="V60" s="5">
        <v>0.525</v>
      </c>
      <c r="W60" s="5">
        <v>368.042</v>
      </c>
      <c r="X60" s="5">
        <v>28.8918</v>
      </c>
      <c r="Y60" s="5"/>
      <c r="Z60" s="6">
        <v>1.7823083E7</v>
      </c>
      <c r="AA60" s="7">
        <v>5.0</v>
      </c>
      <c r="AB60" s="47">
        <f t="shared" si="17"/>
        <v>57.25858333</v>
      </c>
      <c r="AC60" s="7">
        <v>-62.3714460962594</v>
      </c>
      <c r="AD60" s="7">
        <v>15.0</v>
      </c>
      <c r="AE60" s="47">
        <f t="shared" si="18"/>
        <v>0.2619694573</v>
      </c>
      <c r="AF60" s="7">
        <v>-40.4357919194354</v>
      </c>
      <c r="AG60" s="7">
        <v>28.6865240786938</v>
      </c>
      <c r="AH60" s="7">
        <v>277.709967144802</v>
      </c>
      <c r="AI60" s="7">
        <v>0.649999999999984</v>
      </c>
      <c r="AJ60" s="7">
        <v>-60.9436048778207</v>
      </c>
      <c r="AK60" s="7">
        <v>20.5078129583853</v>
      </c>
      <c r="AL60" s="7">
        <v>18.0</v>
      </c>
      <c r="AM60" s="7">
        <v>0.1953</v>
      </c>
      <c r="AN60" s="7">
        <v>381.75</v>
      </c>
      <c r="AO60" s="47">
        <f t="shared" si="19"/>
        <v>494.69</v>
      </c>
    </row>
    <row r="61" ht="15.75" customHeight="1">
      <c r="A61" s="33">
        <v>43011.0</v>
      </c>
      <c r="B61" s="7" t="s">
        <v>195</v>
      </c>
      <c r="C61" s="7" t="s">
        <v>188</v>
      </c>
      <c r="D61" s="45" t="s">
        <v>133</v>
      </c>
      <c r="E61" s="26"/>
      <c r="F61" s="7" t="s">
        <v>56</v>
      </c>
      <c r="G61" s="6" t="s">
        <v>196</v>
      </c>
      <c r="H61">
        <v>-5.962</v>
      </c>
      <c r="I61">
        <v>10.564</v>
      </c>
      <c r="J61" s="27">
        <v>73.343</v>
      </c>
      <c r="K61" s="7">
        <v>80.84641666666668</v>
      </c>
      <c r="L61" s="7">
        <v>75.35450000000002</v>
      </c>
      <c r="N61" s="40" t="s">
        <v>197</v>
      </c>
      <c r="O61" s="5">
        <v>43.0</v>
      </c>
      <c r="P61" s="5">
        <v>430.0</v>
      </c>
      <c r="Q61" s="29">
        <f t="shared" si="13"/>
        <v>5.706361266</v>
      </c>
      <c r="R61" s="5">
        <v>-60.1943435429647</v>
      </c>
      <c r="S61" s="5">
        <v>-40.6188973922781</v>
      </c>
      <c r="T61" s="5">
        <v>27.6794439780588</v>
      </c>
      <c r="U61" s="5">
        <v>68.2983413703369</v>
      </c>
      <c r="V61" s="5">
        <v>0.5</v>
      </c>
      <c r="W61" s="5">
        <v>303.344733342783</v>
      </c>
      <c r="X61" s="5">
        <v>33.1786600553611</v>
      </c>
      <c r="Y61" s="5"/>
      <c r="Z61" s="40" t="s">
        <v>198</v>
      </c>
      <c r="AA61" s="7">
        <v>10.0</v>
      </c>
      <c r="AB61" s="47">
        <f t="shared" si="17"/>
        <v>75.3545</v>
      </c>
      <c r="AC61" s="7">
        <v>-60.057023437106</v>
      </c>
      <c r="AD61" s="7">
        <v>150.0</v>
      </c>
      <c r="AE61" s="47">
        <f t="shared" si="18"/>
        <v>1.990591139</v>
      </c>
      <c r="AF61" s="7">
        <v>-36.560059410931</v>
      </c>
      <c r="AG61" s="7">
        <v>28.1372076601656</v>
      </c>
      <c r="AH61" s="7">
        <v>208.740239040708</v>
      </c>
      <c r="AI61" s="7">
        <v>0.649999999999928</v>
      </c>
      <c r="AJ61" s="7">
        <v>-52.0019542873343</v>
      </c>
      <c r="AK61" s="7">
        <v>15.4418948764033</v>
      </c>
      <c r="AL61" s="7">
        <v>33.0</v>
      </c>
      <c r="AM61" s="7">
        <v>0.4198</v>
      </c>
      <c r="AN61" s="7">
        <v>451.3</v>
      </c>
      <c r="AO61" s="47">
        <f t="shared" si="19"/>
        <v>564.24</v>
      </c>
    </row>
    <row r="62" ht="15.75" customHeight="1">
      <c r="A62" s="33">
        <v>43019.0</v>
      </c>
      <c r="B62" s="7" t="s">
        <v>60</v>
      </c>
      <c r="C62" s="7" t="s">
        <v>188</v>
      </c>
      <c r="D62" s="45" t="s">
        <v>133</v>
      </c>
      <c r="E62" s="26"/>
      <c r="F62" s="7">
        <v>-48.5968</v>
      </c>
      <c r="G62" s="42" t="s">
        <v>199</v>
      </c>
      <c r="H62" s="5">
        <v>-152.011</v>
      </c>
      <c r="I62" s="5">
        <v>10.645</v>
      </c>
      <c r="J62" s="27">
        <v>50.8</v>
      </c>
      <c r="K62" s="7">
        <v>48.79795454545453</v>
      </c>
      <c r="L62" s="7">
        <v>89.33454545454543</v>
      </c>
      <c r="N62" s="6"/>
      <c r="Y62" s="5"/>
      <c r="Z62" s="6" t="s">
        <v>200</v>
      </c>
      <c r="AA62" s="7">
        <v>10.0</v>
      </c>
      <c r="AB62" s="47">
        <f t="shared" si="17"/>
        <v>89.33454545</v>
      </c>
      <c r="AC62" s="7">
        <v>-59.9924940167187</v>
      </c>
      <c r="AD62" s="7">
        <v>270.0</v>
      </c>
      <c r="AE62" s="47">
        <f t="shared" si="18"/>
        <v>3.022347051</v>
      </c>
      <c r="AF62" s="7">
        <v>-38.8488778214651</v>
      </c>
      <c r="AG62" s="7">
        <v>24.4750982033111</v>
      </c>
      <c r="AH62" s="7">
        <v>201.110844338928</v>
      </c>
      <c r="AI62" s="7">
        <v>0.599999999999934</v>
      </c>
      <c r="AJ62" s="7">
        <v>-54.199219961447</v>
      </c>
      <c r="AK62" s="7">
        <v>15.3503421399819</v>
      </c>
      <c r="AL62" s="7">
        <v>23.0</v>
      </c>
      <c r="AM62" s="7">
        <v>0.1257</v>
      </c>
      <c r="AN62" s="7">
        <v>405.85</v>
      </c>
      <c r="AO62" s="47">
        <f t="shared" si="19"/>
        <v>518.79</v>
      </c>
    </row>
    <row r="63" ht="15.75" customHeight="1">
      <c r="A63" s="33">
        <v>43026.0</v>
      </c>
      <c r="B63" s="7" t="s">
        <v>72</v>
      </c>
      <c r="C63" s="7" t="s">
        <v>188</v>
      </c>
      <c r="D63" s="45" t="s">
        <v>133</v>
      </c>
      <c r="E63" s="26"/>
      <c r="F63" s="7">
        <v>-52.1651</v>
      </c>
      <c r="G63" s="42" t="s">
        <v>201</v>
      </c>
      <c r="H63" s="5">
        <v>-86.327</v>
      </c>
      <c r="I63" s="5">
        <v>13.725</v>
      </c>
      <c r="J63" s="27">
        <v>55.921</v>
      </c>
      <c r="K63" s="7">
        <v>55.245666666666665</v>
      </c>
      <c r="L63" s="7">
        <v>53.311749999999996</v>
      </c>
      <c r="N63" s="6"/>
      <c r="Y63" s="5"/>
      <c r="Z63" s="6" t="s">
        <v>202</v>
      </c>
      <c r="AA63" s="7">
        <v>10.0</v>
      </c>
      <c r="AB63" s="47">
        <f t="shared" si="17"/>
        <v>53.31175</v>
      </c>
      <c r="AC63" s="7">
        <v>-60.4322370685402</v>
      </c>
      <c r="AD63" s="7">
        <v>280.0</v>
      </c>
      <c r="AE63" s="47">
        <f t="shared" si="18"/>
        <v>5.25212547</v>
      </c>
      <c r="AF63" s="7">
        <v>-36.8652351990022</v>
      </c>
      <c r="AG63" s="7">
        <v>19.9584965398572</v>
      </c>
      <c r="AH63" s="7">
        <v>210.571293769135</v>
      </c>
      <c r="AI63" s="7">
        <v>0.650000000000039</v>
      </c>
      <c r="AJ63" s="7">
        <v>-51.2695323959634</v>
      </c>
      <c r="AK63" s="7">
        <v>14.4042971969611</v>
      </c>
      <c r="AL63" s="7">
        <v>34.0</v>
      </c>
      <c r="AM63" s="7">
        <v>0.707</v>
      </c>
      <c r="AN63" s="7">
        <v>432.85</v>
      </c>
      <c r="AO63" s="47">
        <f t="shared" si="19"/>
        <v>545.79</v>
      </c>
    </row>
    <row r="64" ht="15.75" customHeight="1">
      <c r="A64" s="33"/>
      <c r="B64" s="7"/>
      <c r="C64" s="7"/>
      <c r="D64" s="45"/>
      <c r="F64" s="7"/>
      <c r="G64" s="7"/>
      <c r="H64" s="7"/>
      <c r="I64" s="7"/>
      <c r="J64" s="47"/>
      <c r="K64" s="7"/>
      <c r="L64" s="7"/>
      <c r="N64" s="6"/>
      <c r="Q64" s="5"/>
      <c r="R64" s="41"/>
      <c r="S64" s="41"/>
      <c r="T64" s="41"/>
      <c r="U64" s="41"/>
      <c r="Y64" s="5"/>
      <c r="Z64" s="6"/>
      <c r="AA64" s="7"/>
      <c r="AN64" s="5"/>
    </row>
    <row r="65" ht="15.75" customHeight="1">
      <c r="A65" s="50"/>
      <c r="B65" s="51"/>
      <c r="C65" s="52"/>
      <c r="D65" s="53"/>
      <c r="E65" s="54"/>
      <c r="F65" s="52"/>
      <c r="G65" s="55"/>
      <c r="H65" s="54"/>
      <c r="I65" s="54"/>
      <c r="J65" s="56"/>
      <c r="K65" s="57"/>
      <c r="L65" s="54"/>
      <c r="M65" s="54"/>
      <c r="N65" s="55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7"/>
      <c r="Z65" s="55"/>
      <c r="AA65" s="52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7"/>
      <c r="AO65" s="56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</row>
    <row r="66" ht="15.75" customHeight="1">
      <c r="A66" s="19"/>
      <c r="B66" s="19"/>
      <c r="C66" s="19"/>
      <c r="D66" s="20"/>
      <c r="E66" s="20"/>
      <c r="F66" s="20"/>
      <c r="G66" s="19"/>
      <c r="H66" s="21"/>
      <c r="I66" s="20"/>
      <c r="J66" s="23"/>
      <c r="K66" s="20"/>
      <c r="L66" s="20"/>
      <c r="M66" s="20"/>
      <c r="N66" s="20"/>
      <c r="O66" s="21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5"/>
      <c r="AH66" s="20"/>
      <c r="AI66" s="21"/>
      <c r="AJ66" s="20"/>
      <c r="AK66" s="20"/>
      <c r="AL66" s="20"/>
      <c r="AM66" s="20"/>
      <c r="AN66" s="20"/>
      <c r="AO66" s="23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5"/>
    </row>
    <row r="67" ht="15.75" customHeight="1">
      <c r="A67" s="30"/>
      <c r="B67" s="7"/>
      <c r="C67" s="7"/>
      <c r="D67" s="7"/>
      <c r="E67" s="7"/>
      <c r="F67" s="5"/>
      <c r="G67" s="7"/>
      <c r="H67" s="6"/>
      <c r="I67" s="5"/>
      <c r="J67" s="27"/>
      <c r="K67" s="5"/>
      <c r="L67" s="5"/>
      <c r="M67" s="5"/>
      <c r="N67" s="5"/>
      <c r="O67" s="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6"/>
      <c r="AJ67" s="5"/>
      <c r="AK67" s="5"/>
      <c r="AL67" s="5"/>
      <c r="AM67" s="5"/>
      <c r="AN67" s="5"/>
      <c r="AO67" s="27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ht="15.75" customHeight="1">
      <c r="A68" s="30"/>
      <c r="B68" s="7"/>
      <c r="C68" s="7"/>
      <c r="D68" s="7"/>
      <c r="E68" s="7"/>
      <c r="F68" s="5"/>
      <c r="G68" s="7"/>
      <c r="H68" s="6"/>
      <c r="I68" s="5"/>
      <c r="J68" s="27"/>
      <c r="K68" s="5"/>
      <c r="L68" s="5"/>
      <c r="M68" s="5"/>
      <c r="N68" s="5"/>
      <c r="O68" s="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6"/>
      <c r="AJ68" s="5"/>
      <c r="AK68" s="5"/>
      <c r="AL68" s="5"/>
      <c r="AM68" s="5"/>
      <c r="AN68" s="5"/>
      <c r="AO68" s="27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ht="15.75" customHeight="1">
      <c r="A69" s="30"/>
      <c r="B69" s="7"/>
      <c r="C69" s="7"/>
      <c r="D69" s="7"/>
      <c r="E69" s="7"/>
      <c r="F69" s="5"/>
      <c r="G69" s="7"/>
      <c r="H69" s="6"/>
      <c r="I69" s="5"/>
      <c r="J69" s="27"/>
      <c r="K69" s="5"/>
      <c r="L69" s="5"/>
      <c r="M69" s="5"/>
      <c r="N69" s="5"/>
      <c r="O69" s="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6"/>
      <c r="AJ69" s="5"/>
      <c r="AK69" s="5"/>
      <c r="AL69" s="5"/>
      <c r="AM69" s="5"/>
      <c r="AN69" s="5"/>
      <c r="AO69" s="27"/>
      <c r="AP69" s="5"/>
      <c r="AQ69" s="5"/>
      <c r="AR69" s="5"/>
      <c r="AS69" s="36"/>
      <c r="AT69" s="5"/>
      <c r="AU69" s="5"/>
      <c r="AV69" s="5"/>
      <c r="AW69" s="5"/>
      <c r="AX69" s="5"/>
      <c r="AY69" s="5"/>
      <c r="AZ69" s="5"/>
      <c r="BA69" s="5"/>
      <c r="BB69" s="5"/>
    </row>
    <row r="70" ht="15.75" customHeight="1">
      <c r="A70" s="30"/>
      <c r="B70" s="7"/>
      <c r="C70" s="7"/>
      <c r="D70" s="7"/>
      <c r="E70" s="7"/>
      <c r="F70" s="5"/>
      <c r="G70" s="7"/>
      <c r="H70" s="6"/>
      <c r="I70" s="5"/>
      <c r="J70" s="27"/>
      <c r="K70" s="5"/>
      <c r="L70" s="5"/>
      <c r="M70" s="5"/>
      <c r="N70" s="5"/>
      <c r="O70" s="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6"/>
      <c r="AJ70" s="5"/>
      <c r="AK70" s="5"/>
      <c r="AL70" s="5"/>
      <c r="AM70" s="5"/>
      <c r="AN70" s="5"/>
      <c r="AO70" s="27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</row>
    <row r="71" ht="15.75" customHeight="1">
      <c r="A71" s="30"/>
      <c r="B71" s="7"/>
      <c r="C71" s="7"/>
      <c r="D71" s="7"/>
      <c r="E71" s="7"/>
      <c r="F71" s="5"/>
      <c r="G71" s="7"/>
      <c r="H71" s="6"/>
      <c r="I71" s="5"/>
      <c r="J71" s="27"/>
      <c r="K71" s="5"/>
      <c r="L71" s="5"/>
      <c r="M71" s="5"/>
      <c r="N71" s="5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  <c r="Z71" s="41"/>
      <c r="AA71" s="5"/>
      <c r="AB71" s="5"/>
      <c r="AC71" s="5"/>
      <c r="AD71" s="5"/>
      <c r="AE71" s="5"/>
      <c r="AF71" s="5"/>
      <c r="AG71" s="5"/>
      <c r="AH71" s="5"/>
      <c r="AI71" s="6"/>
      <c r="AJ71" s="5"/>
      <c r="AK71" s="5"/>
      <c r="AL71" s="5"/>
      <c r="AM71" s="5"/>
      <c r="AN71" s="5"/>
      <c r="AO71" s="27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</row>
    <row r="72" ht="15.75" customHeight="1">
      <c r="A72" s="30"/>
      <c r="B72" s="7"/>
      <c r="C72" s="7"/>
      <c r="D72" s="7"/>
      <c r="E72" s="7"/>
      <c r="F72" s="5"/>
      <c r="G72" s="7"/>
      <c r="H72" s="6"/>
      <c r="I72" s="5"/>
      <c r="J72" s="27"/>
      <c r="K72" s="5"/>
      <c r="L72" s="5"/>
      <c r="M72" s="5"/>
      <c r="N72" s="5"/>
      <c r="O72" s="6"/>
      <c r="P72" s="5"/>
      <c r="Q72" s="5"/>
      <c r="R72" s="5"/>
      <c r="S72" s="5"/>
      <c r="T72" s="5"/>
      <c r="U72" s="5"/>
      <c r="V72" s="5"/>
      <c r="W72" s="5"/>
      <c r="X72" s="5"/>
      <c r="Y72" s="5"/>
      <c r="Z72" s="41"/>
      <c r="AA72" s="5"/>
      <c r="AB72" s="5"/>
      <c r="AC72" s="5"/>
      <c r="AD72" s="5"/>
      <c r="AE72" s="5"/>
      <c r="AF72" s="5"/>
      <c r="AG72" s="5"/>
      <c r="AH72" s="5"/>
      <c r="AI72" s="6"/>
      <c r="AJ72" s="5"/>
      <c r="AK72" s="5"/>
      <c r="AL72" s="5"/>
      <c r="AM72" s="5"/>
      <c r="AN72" s="5"/>
      <c r="AO72" s="27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ht="15.75" customHeight="1">
      <c r="A73" s="30"/>
      <c r="B73" s="7"/>
      <c r="C73" s="7"/>
      <c r="D73" s="7"/>
      <c r="E73" s="7"/>
      <c r="F73" s="5"/>
      <c r="G73" s="7"/>
      <c r="H73" s="6"/>
      <c r="I73" s="36"/>
      <c r="J73" s="27"/>
      <c r="K73" s="36"/>
      <c r="L73" s="36"/>
      <c r="M73" s="5"/>
      <c r="N73" s="5"/>
      <c r="O73" s="6"/>
      <c r="P73" s="5"/>
      <c r="Q73" s="5"/>
      <c r="R73" s="5"/>
      <c r="S73" s="5"/>
      <c r="T73" s="5"/>
      <c r="U73" s="5"/>
      <c r="V73" s="5"/>
      <c r="W73" s="5"/>
      <c r="X73" s="5"/>
      <c r="Y73" s="5"/>
      <c r="Z73" s="41"/>
      <c r="AA73" s="5"/>
      <c r="AB73" s="5"/>
      <c r="AC73" s="5"/>
      <c r="AD73" s="5"/>
      <c r="AE73" s="5"/>
      <c r="AF73" s="5"/>
      <c r="AG73" s="5"/>
      <c r="AH73" s="5"/>
      <c r="AI73" s="46"/>
      <c r="AJ73" s="5"/>
      <c r="AK73" s="5"/>
      <c r="AL73" s="5"/>
      <c r="AM73" s="5"/>
      <c r="AN73" s="5"/>
      <c r="AO73" s="27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ht="15.75" customHeight="1">
      <c r="A74" s="30"/>
      <c r="B74" s="7"/>
      <c r="C74" s="7"/>
      <c r="D74" s="7"/>
      <c r="E74" s="7"/>
      <c r="F74" s="5"/>
      <c r="G74" s="7"/>
      <c r="H74" s="6"/>
      <c r="I74" s="5"/>
      <c r="J74" s="27"/>
      <c r="K74" s="5"/>
      <c r="L74" s="5"/>
      <c r="M74" s="5"/>
      <c r="N74" s="5"/>
      <c r="O74" s="6"/>
      <c r="P74" s="5"/>
      <c r="Q74" s="5"/>
      <c r="R74" s="5"/>
      <c r="S74" s="5"/>
      <c r="T74" s="5"/>
      <c r="U74" s="5"/>
      <c r="V74" s="5"/>
      <c r="W74" s="5"/>
      <c r="X74" s="5"/>
      <c r="Y74" s="5"/>
      <c r="Z74" s="41"/>
      <c r="AA74" s="5"/>
      <c r="AB74" s="5"/>
      <c r="AC74" s="5"/>
      <c r="AD74" s="5"/>
      <c r="AE74" s="5"/>
      <c r="AF74" s="5"/>
      <c r="AG74" s="5"/>
      <c r="AH74" s="5"/>
      <c r="AI74" s="6"/>
      <c r="AJ74" s="5"/>
      <c r="AK74" s="5"/>
      <c r="AL74" s="5"/>
      <c r="AM74" s="5"/>
      <c r="AN74" s="5"/>
      <c r="AO74" s="27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ht="15.75" customHeight="1">
      <c r="A75" s="30"/>
      <c r="B75" s="7"/>
      <c r="C75" s="7"/>
      <c r="D75" s="7"/>
      <c r="E75" s="7"/>
      <c r="F75" s="5"/>
      <c r="G75" s="7"/>
      <c r="H75" s="6"/>
      <c r="I75" s="36"/>
      <c r="J75" s="27"/>
      <c r="K75" s="36"/>
      <c r="L75" s="36"/>
      <c r="M75" s="5"/>
      <c r="N75" s="5"/>
      <c r="O75" s="6"/>
      <c r="P75" s="5"/>
      <c r="Q75" s="5"/>
      <c r="R75" s="5"/>
      <c r="S75" s="5"/>
      <c r="T75" s="5"/>
      <c r="U75" s="5"/>
      <c r="V75" s="5"/>
      <c r="W75" s="5"/>
      <c r="X75" s="5"/>
      <c r="Y75" s="5"/>
      <c r="Z75" s="41"/>
      <c r="AA75" s="5"/>
      <c r="AB75" s="5"/>
      <c r="AC75" s="5"/>
      <c r="AD75" s="5"/>
      <c r="AE75" s="5"/>
      <c r="AF75" s="5"/>
      <c r="AG75" s="5"/>
      <c r="AH75" s="5"/>
      <c r="AI75" s="6"/>
      <c r="AJ75" s="5"/>
      <c r="AK75" s="5"/>
      <c r="AL75" s="5"/>
      <c r="AM75" s="5"/>
      <c r="AN75" s="5"/>
      <c r="AO75" s="27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ht="15.75" customHeight="1">
      <c r="A76" s="30"/>
      <c r="B76" s="7"/>
      <c r="C76" s="7"/>
      <c r="D76" s="7"/>
      <c r="E76" s="7"/>
      <c r="F76" s="5"/>
      <c r="G76" s="7"/>
      <c r="H76" s="6"/>
      <c r="I76" s="5"/>
      <c r="J76" s="27"/>
      <c r="K76" s="5"/>
      <c r="L76" s="5"/>
      <c r="M76" s="5"/>
      <c r="N76" s="5"/>
      <c r="O76" s="6"/>
      <c r="P76" s="5"/>
      <c r="Q76" s="58"/>
      <c r="R76" s="5"/>
      <c r="S76" s="5"/>
      <c r="T76" s="5"/>
      <c r="U76" s="5"/>
      <c r="V76" s="5"/>
      <c r="W76" s="5"/>
      <c r="X76" s="5"/>
      <c r="Y76" s="5"/>
      <c r="Z76" s="41"/>
      <c r="AA76" s="5"/>
      <c r="AB76" s="5"/>
      <c r="AC76" s="5"/>
      <c r="AD76" s="5"/>
      <c r="AE76" s="5"/>
      <c r="AF76" s="5"/>
      <c r="AG76" s="5"/>
      <c r="AH76" s="5"/>
      <c r="AI76" s="46"/>
      <c r="AJ76" s="5"/>
      <c r="AK76" s="5"/>
      <c r="AL76" s="5"/>
      <c r="AM76" s="5"/>
      <c r="AN76" s="5"/>
      <c r="AO76" s="27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ht="15.75" customHeight="1">
      <c r="A77" s="7"/>
      <c r="B77" s="7"/>
      <c r="C77" s="7"/>
      <c r="F77" s="7"/>
      <c r="G77" s="6"/>
      <c r="K77" s="5"/>
      <c r="N77" s="6"/>
      <c r="Y77" s="5"/>
      <c r="Z77" s="41"/>
      <c r="AA77" s="7"/>
      <c r="AN77" s="5"/>
    </row>
    <row r="78" ht="15.75" customHeight="1">
      <c r="A78" s="7"/>
      <c r="B78" s="7"/>
      <c r="C78" s="7"/>
      <c r="F78" s="7"/>
      <c r="G78" s="6"/>
      <c r="K78" s="5"/>
      <c r="N78" s="6"/>
      <c r="Q78" s="5"/>
      <c r="R78" s="5"/>
      <c r="S78" s="5"/>
      <c r="T78" s="5"/>
      <c r="U78" s="5"/>
      <c r="Y78" s="5"/>
      <c r="Z78" s="41"/>
      <c r="AA78" s="7"/>
      <c r="AN78" s="5"/>
      <c r="AO78" s="27"/>
      <c r="AP78" s="5"/>
      <c r="AQ78" s="5"/>
      <c r="AR78" s="5"/>
    </row>
    <row r="79" ht="15.75" customHeight="1">
      <c r="A79" s="7"/>
      <c r="B79" s="7"/>
      <c r="C79" s="7"/>
      <c r="F79" s="7"/>
      <c r="G79" s="6"/>
      <c r="K79" s="5"/>
      <c r="N79" s="6"/>
      <c r="Q79" s="5"/>
      <c r="R79" s="5"/>
      <c r="S79" s="5"/>
      <c r="T79" s="5"/>
      <c r="U79" s="5"/>
      <c r="Y79" s="5"/>
      <c r="Z79" s="41"/>
      <c r="AA79" s="41"/>
      <c r="AB79" s="41"/>
      <c r="AC79" s="41"/>
      <c r="AD79" s="41"/>
      <c r="AE79" s="6"/>
      <c r="AF79" s="6"/>
      <c r="AG79" s="6"/>
      <c r="AH79" s="6"/>
      <c r="AI79" s="6"/>
      <c r="AJ79" s="6"/>
      <c r="AK79" s="6"/>
      <c r="AL79" s="6"/>
      <c r="AM79" s="6"/>
      <c r="AN79" s="5"/>
      <c r="AO79" s="27"/>
      <c r="AP79" s="5"/>
      <c r="AQ79" s="5"/>
      <c r="AR79" s="5"/>
    </row>
    <row r="80" ht="15.75" customHeight="1">
      <c r="A80" s="7"/>
      <c r="B80" s="7"/>
      <c r="C80" s="7"/>
      <c r="F80" s="7"/>
      <c r="G80" s="6"/>
      <c r="K80" s="5"/>
      <c r="N80" s="6"/>
      <c r="Q80" s="5"/>
      <c r="R80" s="5"/>
      <c r="S80" s="5"/>
      <c r="T80" s="5"/>
      <c r="U80" s="5"/>
      <c r="Y80" s="5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5"/>
      <c r="AO80" s="27"/>
      <c r="AP80" s="5"/>
      <c r="AQ80" s="5"/>
      <c r="AR80" s="5"/>
    </row>
    <row r="81" ht="15.75" customHeight="1">
      <c r="A81" s="7"/>
      <c r="B81" s="7"/>
      <c r="C81" s="7"/>
      <c r="F81" s="7"/>
      <c r="G81" s="6"/>
      <c r="K81" s="5"/>
      <c r="N81" s="6"/>
      <c r="Q81" s="5"/>
      <c r="R81" s="5"/>
      <c r="S81" s="5"/>
      <c r="T81" s="5"/>
      <c r="U81" s="5"/>
      <c r="Y81" s="5"/>
      <c r="Z81" s="41"/>
      <c r="AA81" s="7"/>
      <c r="AE81" s="7"/>
      <c r="AF81" s="7"/>
      <c r="AG81" s="7"/>
      <c r="AH81" s="7"/>
      <c r="AI81" s="7"/>
      <c r="AJ81" s="7"/>
      <c r="AK81" s="7"/>
      <c r="AL81" s="7"/>
      <c r="AM81" s="7"/>
      <c r="AN81" s="5"/>
      <c r="AO81" s="27"/>
      <c r="AP81" s="7"/>
      <c r="AQ81" s="7"/>
      <c r="AR81" s="5"/>
    </row>
    <row r="82" ht="15.75" customHeight="1">
      <c r="A82" s="7"/>
      <c r="B82" s="7"/>
      <c r="C82" s="7"/>
      <c r="F82" s="7"/>
      <c r="G82" s="6"/>
      <c r="K82" s="5"/>
      <c r="N82" s="6"/>
      <c r="Q82" s="5"/>
      <c r="R82" s="5"/>
      <c r="S82" s="5"/>
      <c r="T82" s="5"/>
      <c r="U82" s="5"/>
      <c r="Y82" s="5"/>
      <c r="Z82" s="41"/>
      <c r="AA82" s="7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27"/>
      <c r="AP82" s="5"/>
      <c r="AQ82" s="5"/>
      <c r="AR82" s="5"/>
    </row>
    <row r="83" ht="15.75" customHeight="1">
      <c r="A83" s="7"/>
      <c r="B83" s="7"/>
      <c r="C83" s="7"/>
      <c r="F83" s="7"/>
      <c r="G83" s="6"/>
      <c r="K83" s="5"/>
      <c r="N83" s="6"/>
      <c r="Q83" s="5"/>
      <c r="R83" s="41"/>
      <c r="S83" s="41"/>
      <c r="T83" s="41"/>
      <c r="U83" s="41"/>
      <c r="Y83" s="5"/>
      <c r="Z83" s="41"/>
      <c r="AA83" s="7"/>
      <c r="AE83" s="5"/>
      <c r="AF83" s="5"/>
      <c r="AN83" s="5"/>
      <c r="AQ83" s="5"/>
      <c r="AR83" s="5"/>
    </row>
    <row r="84" ht="15.75" customHeight="1">
      <c r="A84" s="7"/>
      <c r="B84" s="7"/>
      <c r="C84" s="7"/>
      <c r="F84" s="7"/>
      <c r="G84" s="6"/>
      <c r="K84" s="5"/>
      <c r="N84" s="6"/>
      <c r="Q84" s="5"/>
      <c r="R84" s="5"/>
      <c r="S84" s="5"/>
      <c r="T84" s="5"/>
      <c r="U84" s="5"/>
      <c r="Y84" s="5"/>
      <c r="Z84" s="41"/>
      <c r="AA84" s="7"/>
      <c r="AN84" s="5"/>
      <c r="AO84" s="27"/>
      <c r="AP84" s="5"/>
      <c r="AQ84" s="5"/>
      <c r="AR84" s="5"/>
    </row>
    <row r="85" ht="15.75" customHeight="1">
      <c r="A85" s="7"/>
      <c r="B85" s="7"/>
      <c r="C85" s="7"/>
      <c r="F85" s="7"/>
      <c r="G85" s="6"/>
      <c r="K85" s="5"/>
      <c r="N85" s="6"/>
      <c r="Q85" s="5"/>
      <c r="R85" s="5"/>
      <c r="S85" s="5"/>
      <c r="T85" s="5"/>
      <c r="U85" s="5"/>
      <c r="Y85" s="5"/>
      <c r="Z85" s="41"/>
      <c r="AA85" s="7"/>
      <c r="AN85" s="5"/>
      <c r="AO85" s="27"/>
      <c r="AP85" s="5"/>
      <c r="AQ85" s="5"/>
      <c r="AR85" s="5"/>
    </row>
    <row r="86" ht="15.75" customHeight="1">
      <c r="A86" s="7"/>
      <c r="B86" s="7"/>
      <c r="C86" s="7"/>
      <c r="F86" s="7"/>
      <c r="G86" s="6"/>
      <c r="K86" s="5"/>
      <c r="N86" s="6"/>
      <c r="Q86" s="5"/>
      <c r="R86" s="5"/>
      <c r="S86" s="5"/>
      <c r="T86" s="5"/>
      <c r="U86" s="5"/>
      <c r="Y86" s="5"/>
      <c r="Z86" s="6"/>
      <c r="AA86" s="7"/>
      <c r="AN86" s="5"/>
      <c r="AO86" s="27"/>
      <c r="AP86" s="5"/>
      <c r="AQ86" s="5"/>
      <c r="AR86" s="5"/>
    </row>
    <row r="87" ht="15.75" customHeight="1">
      <c r="A87" s="7"/>
      <c r="B87" s="7"/>
      <c r="C87" s="7"/>
      <c r="F87" s="7"/>
      <c r="G87" s="6"/>
      <c r="K87" s="5"/>
      <c r="N87" s="5"/>
      <c r="O87" s="5"/>
      <c r="Q87" s="5"/>
      <c r="R87" s="5"/>
      <c r="S87" s="5"/>
      <c r="T87" s="5"/>
      <c r="U87" s="5"/>
      <c r="Y87" s="5"/>
      <c r="Z87" s="6"/>
      <c r="AA87" s="7"/>
      <c r="AN87" s="5"/>
      <c r="AO87" s="27"/>
      <c r="AP87" s="5"/>
      <c r="AQ87" s="5"/>
      <c r="AR87" s="5"/>
    </row>
    <row r="88" ht="15.75" customHeight="1">
      <c r="A88" s="7"/>
      <c r="B88" s="7"/>
      <c r="C88" s="7"/>
      <c r="F88" s="7"/>
      <c r="G88" s="6"/>
      <c r="K88" s="5"/>
      <c r="N88" s="5"/>
      <c r="O88" s="5"/>
      <c r="Q88" s="5"/>
      <c r="R88" s="5"/>
      <c r="S88" s="5"/>
      <c r="T88" s="5"/>
      <c r="U88" s="5"/>
      <c r="Y88" s="5"/>
      <c r="Z88" s="6"/>
      <c r="AA88" s="7"/>
      <c r="AN88" s="5"/>
      <c r="AO88" s="27"/>
      <c r="AP88" s="5"/>
      <c r="AQ88" s="5"/>
      <c r="AR88" s="5"/>
    </row>
    <row r="89" ht="15.75" customHeight="1">
      <c r="A89" s="7"/>
      <c r="B89" s="7"/>
      <c r="C89" s="7"/>
      <c r="F89" s="7"/>
      <c r="G89" s="6"/>
      <c r="K89" s="5"/>
      <c r="N89" s="5"/>
      <c r="O89" s="5"/>
      <c r="Q89" s="5"/>
      <c r="R89" s="5"/>
      <c r="S89" s="5"/>
      <c r="T89" s="5"/>
      <c r="U89" s="5"/>
      <c r="Y89" s="5"/>
      <c r="Z89" s="6"/>
      <c r="AA89" s="7"/>
      <c r="AN89" s="5"/>
      <c r="AO89" s="27"/>
      <c r="AP89" s="5"/>
      <c r="AQ89" s="5"/>
      <c r="AR89" s="5"/>
    </row>
    <row r="90" ht="15.75" customHeight="1">
      <c r="A90" s="7"/>
      <c r="B90" s="7"/>
      <c r="C90" s="7"/>
      <c r="F90" s="7"/>
      <c r="G90" s="6"/>
      <c r="K90" s="5"/>
      <c r="N90" s="5"/>
      <c r="O90" s="5"/>
      <c r="Q90" s="5"/>
      <c r="R90" s="5"/>
      <c r="S90" s="5"/>
      <c r="T90" s="5"/>
      <c r="U90" s="5"/>
      <c r="Y90" s="5"/>
      <c r="Z90" s="6"/>
      <c r="AA90" s="7"/>
      <c r="AN90" s="5"/>
      <c r="AO90" s="27"/>
      <c r="AP90" s="5"/>
      <c r="AQ90" s="5"/>
      <c r="AR90" s="5"/>
    </row>
    <row r="91" ht="15.75" customHeight="1">
      <c r="A91" s="7"/>
      <c r="B91" s="7"/>
      <c r="C91" s="7"/>
      <c r="F91" s="7"/>
      <c r="G91" s="6"/>
      <c r="K91" s="5"/>
      <c r="N91" s="5"/>
      <c r="O91" s="5"/>
      <c r="Q91" s="5"/>
      <c r="R91" s="5"/>
      <c r="S91" s="5"/>
      <c r="T91" s="5"/>
      <c r="U91" s="5"/>
      <c r="Y91" s="5"/>
      <c r="Z91" s="6"/>
      <c r="AA91" s="7"/>
      <c r="AN91" s="5"/>
      <c r="AO91" s="27"/>
      <c r="AP91" s="5"/>
      <c r="AQ91" s="5"/>
      <c r="AR91" s="5"/>
    </row>
    <row r="92" ht="15.75" customHeight="1">
      <c r="A92" s="7"/>
      <c r="B92" s="7"/>
      <c r="C92" s="7"/>
      <c r="F92" s="7"/>
      <c r="G92" s="6"/>
      <c r="K92" s="5"/>
      <c r="N92" s="6"/>
      <c r="Q92" s="5"/>
      <c r="R92" s="5"/>
      <c r="S92" s="5"/>
      <c r="T92" s="5"/>
      <c r="U92" s="5"/>
      <c r="Y92" s="5"/>
      <c r="Z92" s="6"/>
      <c r="AA92" s="7"/>
      <c r="AN92" s="5"/>
      <c r="AO92" s="27"/>
      <c r="AP92" s="5"/>
      <c r="AQ92" s="5"/>
      <c r="AR92" s="5"/>
    </row>
    <row r="93" ht="15.75" customHeight="1">
      <c r="A93" s="7"/>
      <c r="B93" s="7"/>
      <c r="C93" s="7"/>
      <c r="F93" s="7"/>
      <c r="G93" s="6"/>
      <c r="K93" s="5"/>
      <c r="N93" s="6"/>
      <c r="Q93" s="5"/>
      <c r="R93" s="41"/>
      <c r="S93" s="41"/>
      <c r="T93" s="41"/>
      <c r="U93" s="41"/>
      <c r="Y93" s="5"/>
      <c r="Z93" s="6"/>
      <c r="AA93" s="7"/>
      <c r="AN93" s="5"/>
      <c r="AO93" s="27"/>
      <c r="AP93" s="5"/>
      <c r="AQ93" s="5"/>
      <c r="AR93" s="5"/>
    </row>
    <row r="94" ht="15.75" customHeight="1">
      <c r="A94" s="7"/>
      <c r="B94" s="7"/>
      <c r="C94" s="7"/>
      <c r="F94" s="7"/>
      <c r="G94" s="6"/>
      <c r="K94" s="5"/>
      <c r="N94" s="6"/>
      <c r="Q94" s="5"/>
      <c r="R94" s="5"/>
      <c r="S94" s="5"/>
      <c r="T94" s="5"/>
      <c r="U94" s="5"/>
      <c r="Y94" s="5"/>
      <c r="Z94" s="6"/>
      <c r="AA94" s="7"/>
      <c r="AN94" s="5"/>
      <c r="AO94" s="27"/>
      <c r="AP94" s="5"/>
      <c r="AQ94" s="5"/>
      <c r="AR94" s="5"/>
    </row>
    <row r="95" ht="15.75" customHeight="1">
      <c r="A95" s="7"/>
      <c r="B95" s="7"/>
      <c r="C95" s="7"/>
      <c r="F95" s="7"/>
      <c r="G95" s="6"/>
      <c r="K95" s="5"/>
      <c r="N95" s="6"/>
      <c r="Q95" s="5"/>
      <c r="R95" s="5"/>
      <c r="S95" s="5"/>
      <c r="T95" s="5"/>
      <c r="U95" s="5"/>
      <c r="Y95" s="5"/>
      <c r="Z95" s="6"/>
      <c r="AA95" s="7"/>
      <c r="AN95" s="5"/>
      <c r="AO95" s="27"/>
      <c r="AP95" s="5"/>
      <c r="AQ95" s="5"/>
      <c r="AR95" s="5"/>
    </row>
    <row r="96" ht="15.75" customHeight="1">
      <c r="A96" s="7"/>
      <c r="B96" s="7"/>
      <c r="C96" s="7"/>
      <c r="F96" s="7"/>
      <c r="G96" s="6"/>
      <c r="K96" s="5"/>
      <c r="N96" s="6"/>
      <c r="Q96" s="5"/>
      <c r="R96" s="5"/>
      <c r="S96" s="5"/>
      <c r="T96" s="5"/>
      <c r="U96" s="5"/>
      <c r="Y96" s="5"/>
      <c r="Z96" s="6"/>
      <c r="AA96" s="7"/>
      <c r="AN96" s="5"/>
      <c r="AO96" s="27"/>
      <c r="AP96" s="5"/>
      <c r="AQ96" s="5"/>
      <c r="AR96" s="5"/>
    </row>
    <row r="97" ht="15.75" customHeight="1">
      <c r="A97" s="7"/>
      <c r="B97" s="7"/>
      <c r="C97" s="7"/>
      <c r="F97" s="7"/>
      <c r="G97" s="6"/>
      <c r="K97" s="5"/>
      <c r="N97" s="6"/>
      <c r="Q97" s="5"/>
      <c r="R97" s="5"/>
      <c r="S97" s="5"/>
      <c r="T97" s="5"/>
      <c r="U97" s="5"/>
      <c r="Y97" s="5"/>
      <c r="Z97" s="6"/>
      <c r="AA97" s="7"/>
      <c r="AN97" s="5"/>
      <c r="AO97" s="27"/>
      <c r="AP97" s="5"/>
      <c r="AQ97" s="5"/>
      <c r="AR97" s="5"/>
    </row>
    <row r="98" ht="15.75" customHeight="1">
      <c r="A98" s="7"/>
      <c r="B98" s="7"/>
      <c r="C98" s="7"/>
      <c r="F98" s="7"/>
      <c r="G98" s="6"/>
      <c r="K98" s="5"/>
      <c r="N98" s="6"/>
      <c r="Q98" s="5"/>
      <c r="R98" s="5"/>
      <c r="S98" s="5"/>
      <c r="T98" s="5"/>
      <c r="U98" s="5"/>
      <c r="Y98" s="5"/>
      <c r="Z98" s="6"/>
      <c r="AA98" s="7"/>
      <c r="AN98" s="5"/>
      <c r="AO98" s="27"/>
      <c r="AP98" s="5"/>
      <c r="AQ98" s="5"/>
      <c r="AR98" s="5"/>
    </row>
    <row r="99" ht="15.75" customHeight="1">
      <c r="A99" s="7"/>
      <c r="B99" s="7"/>
      <c r="C99" s="7"/>
      <c r="F99" s="7"/>
      <c r="G99" s="6"/>
      <c r="K99" s="5"/>
      <c r="N99" s="6"/>
      <c r="Q99" s="5"/>
      <c r="R99" s="5"/>
      <c r="S99" s="5"/>
      <c r="T99" s="5"/>
      <c r="U99" s="5"/>
      <c r="Y99" s="5"/>
      <c r="Z99" s="6"/>
      <c r="AA99" s="7"/>
      <c r="AN99" s="5"/>
      <c r="AO99" s="27"/>
      <c r="AP99" s="5"/>
      <c r="AQ99" s="5"/>
      <c r="AR99" s="5"/>
    </row>
    <row r="100" ht="15.75" customHeight="1">
      <c r="A100" s="7"/>
      <c r="B100" s="7"/>
      <c r="C100" s="7"/>
      <c r="F100" s="7"/>
      <c r="G100" s="6"/>
      <c r="K100" s="5"/>
      <c r="N100" s="6"/>
      <c r="Q100" s="5"/>
      <c r="R100" s="5"/>
      <c r="S100" s="5"/>
      <c r="T100" s="5"/>
      <c r="U100" s="5"/>
      <c r="Y100" s="5"/>
      <c r="Z100" s="6"/>
      <c r="AA100" s="7"/>
      <c r="AN100" s="5"/>
      <c r="AO100" s="27"/>
      <c r="AP100" s="5"/>
      <c r="AQ100" s="5"/>
      <c r="AR100" s="5"/>
    </row>
    <row r="101" ht="15.75" customHeight="1">
      <c r="A101" s="7"/>
      <c r="B101" s="7"/>
      <c r="C101" s="7"/>
      <c r="F101" s="7"/>
      <c r="G101" s="6"/>
      <c r="K101" s="5"/>
      <c r="N101" s="6"/>
      <c r="Q101" s="5"/>
      <c r="R101" s="5"/>
      <c r="S101" s="5"/>
      <c r="T101" s="5"/>
      <c r="U101" s="5"/>
      <c r="Y101" s="5"/>
      <c r="Z101" s="6"/>
      <c r="AA101" s="7"/>
      <c r="AN101" s="5"/>
      <c r="AO101" s="27"/>
      <c r="AP101" s="5"/>
      <c r="AQ101" s="5"/>
      <c r="AR101" s="5"/>
    </row>
    <row r="102" ht="15.75" customHeight="1">
      <c r="A102" s="7"/>
      <c r="B102" s="7"/>
      <c r="C102" s="7"/>
      <c r="F102" s="7"/>
      <c r="G102" s="6"/>
      <c r="K102" s="5"/>
      <c r="N102" s="6"/>
      <c r="Q102" s="5"/>
      <c r="R102" s="5"/>
      <c r="S102" s="5"/>
      <c r="T102" s="5"/>
      <c r="U102" s="5"/>
      <c r="Y102" s="5"/>
      <c r="Z102" s="6"/>
      <c r="AA102" s="7"/>
      <c r="AN102" s="5"/>
    </row>
    <row r="103" ht="15.75" customHeight="1">
      <c r="A103" s="7"/>
      <c r="B103" s="7"/>
      <c r="C103" s="7"/>
      <c r="F103" s="7"/>
      <c r="G103" s="6"/>
      <c r="K103" s="5"/>
      <c r="N103" s="6"/>
      <c r="Q103" s="5"/>
      <c r="R103" s="5"/>
      <c r="S103" s="5"/>
      <c r="T103" s="5"/>
      <c r="U103" s="5"/>
      <c r="Y103" s="5"/>
      <c r="Z103" s="6"/>
      <c r="AA103" s="7"/>
      <c r="AN103" s="5"/>
    </row>
    <row r="104" ht="15.75" customHeight="1">
      <c r="A104" s="7"/>
      <c r="B104" s="7"/>
      <c r="C104" s="7"/>
      <c r="F104" s="7"/>
      <c r="G104" s="6"/>
      <c r="K104" s="5"/>
      <c r="N104" s="6"/>
      <c r="Q104" s="5"/>
      <c r="R104" s="5"/>
      <c r="S104" s="5"/>
      <c r="T104" s="5"/>
      <c r="U104" s="5"/>
      <c r="Y104" s="5"/>
      <c r="Z104" s="6"/>
      <c r="AA104" s="7"/>
      <c r="AN104" s="5"/>
    </row>
    <row r="105" ht="15.75" customHeight="1">
      <c r="A105" s="7"/>
      <c r="B105" s="7"/>
      <c r="C105" s="7"/>
      <c r="F105" s="7"/>
      <c r="G105" s="6"/>
      <c r="K105" s="5"/>
      <c r="N105" s="6"/>
      <c r="Q105" s="5"/>
      <c r="R105" s="5"/>
      <c r="S105" s="5"/>
      <c r="T105" s="5"/>
      <c r="U105" s="5"/>
      <c r="Y105" s="5"/>
      <c r="Z105" s="6"/>
      <c r="AA105" s="7"/>
      <c r="AN105" s="5"/>
    </row>
    <row r="106" ht="15.75" customHeight="1">
      <c r="A106" s="7"/>
      <c r="B106" s="7"/>
      <c r="C106" s="7"/>
      <c r="F106" s="7"/>
      <c r="G106" s="6"/>
      <c r="K106" s="5"/>
      <c r="N106" s="6"/>
      <c r="Q106" s="5"/>
      <c r="R106" s="41"/>
      <c r="S106" s="41"/>
      <c r="T106" s="41"/>
      <c r="U106" s="41"/>
      <c r="Y106" s="5"/>
      <c r="Z106" s="6"/>
      <c r="AA106" s="7"/>
      <c r="AN106" s="5"/>
    </row>
    <row r="107" ht="15.75" customHeight="1">
      <c r="A107" s="7"/>
      <c r="B107" s="7"/>
      <c r="C107" s="7"/>
      <c r="F107" s="7"/>
      <c r="G107" s="6"/>
      <c r="K107" s="5"/>
      <c r="N107" s="6"/>
      <c r="Q107" s="5"/>
      <c r="R107" s="5"/>
      <c r="S107" s="5"/>
      <c r="T107" s="5"/>
      <c r="U107" s="5"/>
      <c r="Y107" s="5"/>
      <c r="Z107" s="6"/>
      <c r="AA107" s="7"/>
      <c r="AN107" s="5"/>
    </row>
    <row r="108" ht="15.75" customHeight="1">
      <c r="A108" s="7"/>
      <c r="B108" s="7"/>
      <c r="C108" s="7"/>
      <c r="F108" s="7"/>
      <c r="G108" s="6"/>
      <c r="K108" s="5"/>
      <c r="N108" s="6"/>
      <c r="Q108" s="5"/>
      <c r="R108" s="5"/>
      <c r="S108" s="5"/>
      <c r="T108" s="5"/>
      <c r="U108" s="5"/>
      <c r="Y108" s="5"/>
      <c r="Z108" s="6"/>
      <c r="AA108" s="7"/>
      <c r="AN108" s="5"/>
    </row>
    <row r="109" ht="15.75" customHeight="1">
      <c r="A109" s="7"/>
      <c r="B109" s="7"/>
      <c r="C109" s="7"/>
      <c r="F109" s="7"/>
      <c r="G109" s="6"/>
      <c r="K109" s="5"/>
      <c r="N109" s="6"/>
      <c r="Q109" s="5"/>
      <c r="R109" s="5"/>
      <c r="S109" s="5"/>
      <c r="T109" s="5"/>
      <c r="U109" s="5"/>
      <c r="Y109" s="5"/>
      <c r="Z109" s="6"/>
      <c r="AA109" s="7"/>
      <c r="AN109" s="5"/>
    </row>
    <row r="110" ht="15.75" customHeight="1">
      <c r="A110" s="7"/>
      <c r="B110" s="7"/>
      <c r="C110" s="7"/>
      <c r="F110" s="7"/>
      <c r="G110" s="6"/>
      <c r="K110" s="5"/>
      <c r="N110" s="6"/>
      <c r="Q110" s="5"/>
      <c r="R110" s="5"/>
      <c r="S110" s="5"/>
      <c r="T110" s="5"/>
      <c r="U110" s="5"/>
      <c r="Y110" s="5"/>
      <c r="Z110" s="6"/>
      <c r="AA110" s="7"/>
      <c r="AN110" s="5"/>
    </row>
    <row r="111" ht="15.75" customHeight="1">
      <c r="A111" s="7"/>
      <c r="B111" s="7"/>
      <c r="C111" s="7"/>
      <c r="F111" s="7"/>
      <c r="G111" s="6"/>
      <c r="K111" s="5"/>
      <c r="N111" s="6"/>
      <c r="Q111" s="5"/>
      <c r="R111" s="5"/>
      <c r="S111" s="5"/>
      <c r="T111" s="5"/>
      <c r="U111" s="5"/>
      <c r="Y111" s="5"/>
      <c r="Z111" s="6"/>
      <c r="AA111" s="7"/>
      <c r="AN111" s="5"/>
    </row>
    <row r="112" ht="15.75" customHeight="1">
      <c r="A112" s="7"/>
      <c r="B112" s="7"/>
      <c r="C112" s="7"/>
      <c r="F112" s="7"/>
      <c r="G112" s="6"/>
      <c r="K112" s="5"/>
      <c r="N112" s="6"/>
      <c r="Q112" s="5"/>
      <c r="R112" s="5"/>
      <c r="S112" s="5"/>
      <c r="T112" s="5"/>
      <c r="U112" s="5"/>
      <c r="Y112" s="5"/>
      <c r="Z112" s="6"/>
      <c r="AA112" s="7"/>
      <c r="AN112" s="5"/>
    </row>
    <row r="113" ht="15.75" customHeight="1">
      <c r="A113" s="7"/>
      <c r="B113" s="7"/>
      <c r="C113" s="7"/>
      <c r="F113" s="7"/>
      <c r="G113" s="6"/>
      <c r="K113" s="5"/>
      <c r="N113" s="6"/>
      <c r="Q113" s="5"/>
      <c r="R113" s="5"/>
      <c r="S113" s="5"/>
      <c r="T113" s="5"/>
      <c r="U113" s="5"/>
      <c r="Y113" s="5"/>
      <c r="Z113" s="6"/>
      <c r="AA113" s="7"/>
      <c r="AN113" s="5"/>
    </row>
    <row r="114" ht="15.75" customHeight="1">
      <c r="A114" s="7"/>
      <c r="B114" s="7"/>
      <c r="C114" s="7"/>
      <c r="F114" s="7"/>
      <c r="G114" s="6"/>
      <c r="K114" s="5"/>
      <c r="N114" s="6"/>
      <c r="Q114" s="5"/>
      <c r="R114" s="5"/>
      <c r="S114" s="5"/>
      <c r="T114" s="5"/>
      <c r="U114" s="5"/>
      <c r="Y114" s="5"/>
      <c r="Z114" s="6"/>
      <c r="AA114" s="7"/>
      <c r="AN114" s="5"/>
    </row>
    <row r="115" ht="15.75" customHeight="1">
      <c r="A115" s="7"/>
      <c r="B115" s="7"/>
      <c r="C115" s="7"/>
      <c r="F115" s="7"/>
      <c r="G115" s="6"/>
      <c r="K115" s="5"/>
      <c r="N115" s="6"/>
      <c r="Q115" s="5"/>
      <c r="R115" s="5"/>
      <c r="S115" s="5"/>
      <c r="T115" s="5"/>
      <c r="U115" s="5"/>
      <c r="Y115" s="5"/>
      <c r="Z115" s="6"/>
      <c r="AA115" s="7"/>
      <c r="AN115" s="5"/>
    </row>
    <row r="116" ht="15.75" customHeight="1">
      <c r="A116" s="7"/>
      <c r="B116" s="7"/>
      <c r="C116" s="7"/>
      <c r="F116" s="7"/>
      <c r="G116" s="6"/>
      <c r="K116" s="5"/>
      <c r="N116" s="6"/>
      <c r="Q116" s="5"/>
      <c r="R116" s="5"/>
      <c r="S116" s="5"/>
      <c r="T116" s="5"/>
      <c r="U116" s="5"/>
      <c r="Y116" s="5"/>
      <c r="Z116" s="6"/>
      <c r="AA116" s="7"/>
      <c r="AN116" s="5"/>
    </row>
    <row r="117" ht="15.75" customHeight="1">
      <c r="A117" s="7"/>
      <c r="B117" s="7"/>
      <c r="C117" s="7"/>
      <c r="F117" s="7"/>
      <c r="G117" s="6"/>
      <c r="K117" s="5"/>
      <c r="N117" s="6"/>
      <c r="Q117" s="5"/>
      <c r="R117" s="41"/>
      <c r="S117" s="41"/>
      <c r="T117" s="41"/>
      <c r="U117" s="41"/>
      <c r="Y117" s="5"/>
      <c r="Z117" s="6"/>
      <c r="AA117" s="7"/>
      <c r="AN117" s="5"/>
    </row>
    <row r="118" ht="15.75" customHeight="1">
      <c r="A118" s="7"/>
      <c r="B118" s="7"/>
      <c r="C118" s="7"/>
      <c r="F118" s="7"/>
      <c r="G118" s="6"/>
      <c r="K118" s="5"/>
      <c r="N118" s="6"/>
      <c r="Y118" s="5"/>
      <c r="Z118" s="6"/>
      <c r="AA118" s="7"/>
      <c r="AN118" s="5"/>
    </row>
    <row r="119" ht="15.75" customHeight="1">
      <c r="A119" s="7"/>
      <c r="B119" s="7"/>
      <c r="C119" s="7"/>
      <c r="F119" s="7"/>
      <c r="G119" s="6"/>
      <c r="K119" s="5"/>
      <c r="N119" s="6"/>
      <c r="Y119" s="5"/>
      <c r="Z119" s="6"/>
      <c r="AA119" s="7"/>
      <c r="AN119" s="5"/>
    </row>
    <row r="120" ht="15.75" customHeight="1">
      <c r="A120" s="7"/>
      <c r="B120" s="7"/>
      <c r="C120" s="7"/>
      <c r="F120" s="7"/>
      <c r="G120" s="6"/>
      <c r="K120" s="5"/>
      <c r="N120" s="6"/>
      <c r="Y120" s="5"/>
      <c r="Z120" s="6"/>
      <c r="AA120" s="7"/>
      <c r="AN120" s="5"/>
    </row>
    <row r="121" ht="15.75" customHeight="1">
      <c r="A121" s="7"/>
      <c r="B121" s="7"/>
      <c r="C121" s="7"/>
      <c r="F121" s="7"/>
      <c r="G121" s="6"/>
      <c r="K121" s="5"/>
      <c r="N121" s="6"/>
      <c r="Y121" s="5"/>
      <c r="Z121" s="6"/>
      <c r="AA121" s="7"/>
      <c r="AN121" s="5"/>
    </row>
    <row r="122" ht="15.75" customHeight="1">
      <c r="A122" s="7"/>
      <c r="B122" s="7"/>
      <c r="C122" s="7"/>
      <c r="F122" s="7"/>
      <c r="G122" s="6"/>
      <c r="K122" s="5"/>
      <c r="N122" s="6"/>
      <c r="Y122" s="5"/>
      <c r="Z122" s="6"/>
      <c r="AA122" s="7"/>
      <c r="AN122" s="5"/>
    </row>
    <row r="123" ht="15.75" customHeight="1">
      <c r="A123" s="7"/>
      <c r="B123" s="7"/>
      <c r="C123" s="7"/>
      <c r="F123" s="7"/>
      <c r="G123" s="6"/>
      <c r="K123" s="5"/>
      <c r="N123" s="6"/>
      <c r="Y123" s="5"/>
      <c r="Z123" s="6"/>
      <c r="AA123" s="7"/>
      <c r="AN123" s="5"/>
    </row>
    <row r="124" ht="15.75" customHeight="1">
      <c r="A124" s="7"/>
      <c r="B124" s="7"/>
      <c r="C124" s="7"/>
      <c r="F124" s="7"/>
      <c r="G124" s="6"/>
      <c r="K124" s="5"/>
      <c r="N124" s="6"/>
      <c r="Y124" s="5"/>
      <c r="Z124" s="6"/>
      <c r="AA124" s="7"/>
      <c r="AN124" s="5"/>
    </row>
    <row r="125" ht="15.75" customHeight="1">
      <c r="A125" s="7"/>
      <c r="B125" s="7"/>
      <c r="C125" s="7"/>
      <c r="F125" s="7"/>
      <c r="G125" s="6"/>
      <c r="K125" s="5"/>
      <c r="N125" s="6"/>
      <c r="Y125" s="5"/>
      <c r="Z125" s="6"/>
      <c r="AA125" s="7"/>
      <c r="AN125" s="5"/>
    </row>
    <row r="126" ht="15.75" customHeight="1">
      <c r="A126" s="7"/>
      <c r="B126" s="7"/>
      <c r="C126" s="7"/>
      <c r="F126" s="7"/>
      <c r="G126" s="6"/>
      <c r="K126" s="5"/>
      <c r="N126" s="6"/>
      <c r="Y126" s="5"/>
      <c r="Z126" s="6"/>
      <c r="AA126" s="7"/>
      <c r="AN126" s="5"/>
    </row>
    <row r="127" ht="15.75" customHeight="1">
      <c r="A127" s="7"/>
      <c r="B127" s="7"/>
      <c r="C127" s="7"/>
      <c r="F127" s="7"/>
      <c r="G127" s="6"/>
      <c r="K127" s="5"/>
      <c r="N127" s="6"/>
      <c r="Y127" s="5"/>
      <c r="Z127" s="6"/>
      <c r="AA127" s="7"/>
      <c r="AN127" s="5"/>
    </row>
    <row r="128" ht="15.75" customHeight="1">
      <c r="A128" s="7"/>
      <c r="B128" s="7"/>
      <c r="C128" s="7"/>
      <c r="F128" s="7"/>
      <c r="G128" s="6"/>
      <c r="K128" s="5"/>
      <c r="N128" s="6"/>
      <c r="Y128" s="5"/>
      <c r="Z128" s="6"/>
      <c r="AA128" s="7"/>
      <c r="AN128" s="5"/>
    </row>
    <row r="129" ht="15.75" customHeight="1">
      <c r="A129" s="7"/>
      <c r="B129" s="7"/>
      <c r="C129" s="7"/>
      <c r="F129" s="7"/>
      <c r="G129" s="6"/>
      <c r="K129" s="5"/>
      <c r="N129" s="6"/>
      <c r="Y129" s="5"/>
      <c r="Z129" s="6"/>
      <c r="AA129" s="7"/>
      <c r="AN129" s="5"/>
    </row>
    <row r="130" ht="15.75" customHeight="1">
      <c r="A130" s="7"/>
      <c r="B130" s="7"/>
      <c r="C130" s="7"/>
      <c r="F130" s="7"/>
      <c r="G130" s="6"/>
      <c r="K130" s="5"/>
      <c r="N130" s="6"/>
      <c r="Y130" s="5"/>
      <c r="Z130" s="6"/>
      <c r="AA130" s="7"/>
      <c r="AN130" s="5"/>
    </row>
    <row r="131" ht="15.75" customHeight="1">
      <c r="A131" s="7"/>
      <c r="B131" s="7"/>
      <c r="C131" s="7"/>
      <c r="F131" s="7"/>
      <c r="G131" s="6"/>
      <c r="K131" s="5"/>
      <c r="N131" s="6"/>
      <c r="Y131" s="5"/>
      <c r="Z131" s="6"/>
      <c r="AA131" s="7"/>
      <c r="AN131" s="5"/>
    </row>
    <row r="132" ht="15.75" customHeight="1">
      <c r="A132" s="7"/>
      <c r="B132" s="7"/>
      <c r="C132" s="7"/>
      <c r="F132" s="7"/>
      <c r="G132" s="6"/>
      <c r="K132" s="5"/>
      <c r="N132" s="6"/>
      <c r="Y132" s="5"/>
      <c r="Z132" s="6"/>
      <c r="AA132" s="7"/>
      <c r="AN132" s="5"/>
    </row>
    <row r="133" ht="15.75" customHeight="1">
      <c r="A133" s="7"/>
      <c r="B133" s="7"/>
      <c r="C133" s="7"/>
      <c r="F133" s="7"/>
      <c r="G133" s="6"/>
      <c r="K133" s="5"/>
      <c r="N133" s="6"/>
      <c r="Y133" s="5"/>
      <c r="Z133" s="6"/>
      <c r="AA133" s="7"/>
      <c r="AN133" s="5"/>
    </row>
    <row r="134" ht="15.75" customHeight="1">
      <c r="A134" s="7"/>
      <c r="B134" s="7"/>
      <c r="C134" s="7"/>
      <c r="F134" s="7"/>
      <c r="G134" s="6"/>
      <c r="K134" s="5"/>
      <c r="N134" s="6"/>
      <c r="Y134" s="5"/>
      <c r="Z134" s="6"/>
      <c r="AA134" s="7"/>
      <c r="AN134" s="5"/>
    </row>
    <row r="135" ht="15.75" customHeight="1">
      <c r="A135" s="7"/>
      <c r="B135" s="7"/>
      <c r="C135" s="7"/>
      <c r="F135" s="7"/>
      <c r="G135" s="6"/>
      <c r="K135" s="5"/>
      <c r="N135" s="6"/>
      <c r="Y135" s="5"/>
      <c r="Z135" s="6"/>
      <c r="AA135" s="7"/>
      <c r="AN135" s="5"/>
    </row>
    <row r="136" ht="15.75" customHeight="1">
      <c r="A136" s="7"/>
      <c r="B136" s="7"/>
      <c r="C136" s="7"/>
      <c r="F136" s="7"/>
      <c r="G136" s="6"/>
      <c r="K136" s="5"/>
      <c r="N136" s="6"/>
      <c r="Y136" s="5"/>
      <c r="Z136" s="6"/>
      <c r="AA136" s="7"/>
      <c r="AN136" s="5"/>
    </row>
    <row r="137" ht="15.75" customHeight="1">
      <c r="A137" s="7"/>
      <c r="B137" s="7"/>
      <c r="C137" s="7"/>
      <c r="F137" s="7"/>
      <c r="G137" s="6"/>
      <c r="K137" s="5"/>
      <c r="N137" s="6"/>
      <c r="Y137" s="5"/>
      <c r="Z137" s="6"/>
      <c r="AA137" s="7"/>
      <c r="AN137" s="5"/>
    </row>
    <row r="138" ht="15.75" customHeight="1">
      <c r="A138" s="7"/>
      <c r="B138" s="7"/>
      <c r="C138" s="7"/>
      <c r="F138" s="7"/>
      <c r="G138" s="6"/>
      <c r="K138" s="5"/>
      <c r="N138" s="6"/>
      <c r="Y138" s="5"/>
      <c r="Z138" s="6"/>
      <c r="AA138" s="7"/>
      <c r="AN138" s="5"/>
    </row>
    <row r="139" ht="15.75" customHeight="1">
      <c r="A139" s="7"/>
      <c r="B139" s="7"/>
      <c r="C139" s="7"/>
      <c r="F139" s="7"/>
      <c r="G139" s="6"/>
      <c r="K139" s="5"/>
      <c r="N139" s="6"/>
      <c r="Y139" s="5"/>
      <c r="Z139" s="6"/>
      <c r="AA139" s="7"/>
      <c r="AN139" s="5"/>
    </row>
    <row r="140" ht="15.75" customHeight="1">
      <c r="A140" s="7"/>
      <c r="B140" s="7"/>
      <c r="C140" s="7"/>
      <c r="F140" s="7"/>
      <c r="G140" s="6"/>
      <c r="K140" s="5"/>
      <c r="N140" s="6"/>
      <c r="Y140" s="5"/>
      <c r="Z140" s="6"/>
      <c r="AA140" s="7"/>
      <c r="AN140" s="5"/>
    </row>
    <row r="141" ht="15.75" customHeight="1">
      <c r="A141" s="7"/>
      <c r="B141" s="7"/>
      <c r="C141" s="7"/>
      <c r="F141" s="7"/>
      <c r="G141" s="6"/>
      <c r="K141" s="5"/>
      <c r="N141" s="6"/>
      <c r="Y141" s="5"/>
      <c r="Z141" s="6"/>
      <c r="AA141" s="7"/>
      <c r="AN141" s="5"/>
    </row>
    <row r="142" ht="15.75" customHeight="1">
      <c r="A142" s="7"/>
      <c r="B142" s="7"/>
      <c r="C142" s="7"/>
      <c r="F142" s="7"/>
      <c r="G142" s="6"/>
      <c r="K142" s="5"/>
      <c r="N142" s="6"/>
      <c r="Y142" s="5"/>
      <c r="Z142" s="6"/>
      <c r="AA142" s="7"/>
      <c r="AN142" s="5"/>
    </row>
    <row r="143" ht="15.75" customHeight="1">
      <c r="A143" s="7"/>
      <c r="B143" s="7"/>
      <c r="C143" s="7"/>
      <c r="F143" s="7"/>
      <c r="G143" s="6"/>
      <c r="K143" s="5"/>
      <c r="N143" s="6"/>
      <c r="Y143" s="5"/>
      <c r="Z143" s="6"/>
      <c r="AA143" s="7"/>
      <c r="AN143" s="5"/>
    </row>
    <row r="144" ht="15.75" customHeight="1">
      <c r="A144" s="7"/>
      <c r="B144" s="7"/>
      <c r="C144" s="7"/>
      <c r="F144" s="7"/>
      <c r="G144" s="6"/>
      <c r="K144" s="5"/>
      <c r="N144" s="6"/>
      <c r="Y144" s="5"/>
      <c r="Z144" s="6"/>
      <c r="AA144" s="7"/>
      <c r="AN144" s="5"/>
    </row>
    <row r="145" ht="15.75" customHeight="1">
      <c r="A145" s="7"/>
      <c r="B145" s="7"/>
      <c r="C145" s="7"/>
      <c r="F145" s="7"/>
      <c r="G145" s="6"/>
      <c r="K145" s="5"/>
      <c r="N145" s="6"/>
      <c r="Y145" s="5"/>
      <c r="Z145" s="6"/>
      <c r="AA145" s="7"/>
      <c r="AN145" s="5"/>
    </row>
    <row r="146" ht="15.75" customHeight="1">
      <c r="A146" s="7"/>
      <c r="B146" s="7"/>
      <c r="C146" s="7"/>
      <c r="F146" s="7"/>
      <c r="G146" s="6"/>
      <c r="K146" s="5"/>
      <c r="N146" s="6"/>
      <c r="Y146" s="5"/>
      <c r="Z146" s="6"/>
      <c r="AA146" s="7"/>
      <c r="AN146" s="5"/>
    </row>
    <row r="147" ht="15.75" customHeight="1">
      <c r="A147" s="7"/>
      <c r="B147" s="7"/>
      <c r="C147" s="7"/>
      <c r="F147" s="7"/>
      <c r="G147" s="6"/>
      <c r="K147" s="5"/>
      <c r="N147" s="6"/>
      <c r="Y147" s="5"/>
      <c r="Z147" s="6"/>
      <c r="AA147" s="7"/>
      <c r="AN147" s="5"/>
    </row>
    <row r="148" ht="15.75" customHeight="1">
      <c r="A148" s="7"/>
      <c r="B148" s="7"/>
      <c r="C148" s="7"/>
      <c r="F148" s="7"/>
      <c r="G148" s="6"/>
      <c r="K148" s="5"/>
      <c r="N148" s="6"/>
      <c r="Y148" s="5"/>
      <c r="Z148" s="6"/>
      <c r="AA148" s="7"/>
      <c r="AN148" s="5"/>
    </row>
    <row r="149" ht="15.75" customHeight="1">
      <c r="A149" s="7"/>
      <c r="B149" s="7"/>
      <c r="C149" s="7"/>
      <c r="F149" s="7"/>
      <c r="G149" s="6"/>
      <c r="K149" s="5"/>
      <c r="N149" s="6"/>
      <c r="Y149" s="5"/>
      <c r="Z149" s="6"/>
      <c r="AA149" s="7"/>
      <c r="AN149" s="5"/>
    </row>
    <row r="150" ht="15.75" customHeight="1">
      <c r="A150" s="7"/>
      <c r="B150" s="7"/>
      <c r="C150" s="7"/>
      <c r="F150" s="7"/>
      <c r="G150" s="6"/>
      <c r="K150" s="5"/>
      <c r="N150" s="6"/>
      <c r="Y150" s="5"/>
      <c r="Z150" s="6"/>
      <c r="AA150" s="7"/>
      <c r="AN150" s="5"/>
    </row>
    <row r="151" ht="15.75" customHeight="1">
      <c r="A151" s="7"/>
      <c r="B151" s="7"/>
      <c r="C151" s="7"/>
      <c r="F151" s="7"/>
      <c r="G151" s="6"/>
      <c r="K151" s="5"/>
      <c r="N151" s="6"/>
      <c r="Y151" s="5"/>
      <c r="Z151" s="6"/>
      <c r="AA151" s="7"/>
      <c r="AN151" s="5"/>
    </row>
    <row r="152" ht="15.75" customHeight="1">
      <c r="A152" s="7"/>
      <c r="B152" s="7"/>
      <c r="C152" s="7"/>
      <c r="F152" s="7"/>
      <c r="G152" s="6"/>
      <c r="K152" s="5"/>
      <c r="N152" s="6"/>
      <c r="Y152" s="5"/>
      <c r="Z152" s="6"/>
      <c r="AA152" s="7"/>
      <c r="AN152" s="5"/>
    </row>
    <row r="153" ht="15.75" customHeight="1">
      <c r="A153" s="7"/>
      <c r="B153" s="7"/>
      <c r="C153" s="7"/>
      <c r="F153" s="7"/>
      <c r="G153" s="6"/>
      <c r="K153" s="5"/>
      <c r="N153" s="6"/>
      <c r="Y153" s="5"/>
      <c r="Z153" s="6"/>
      <c r="AA153" s="7"/>
      <c r="AN153" s="5"/>
    </row>
    <row r="154" ht="15.75" customHeight="1">
      <c r="A154" s="7"/>
      <c r="B154" s="7"/>
      <c r="C154" s="7"/>
      <c r="F154" s="7"/>
      <c r="G154" s="6"/>
      <c r="K154" s="5"/>
      <c r="N154" s="6"/>
      <c r="Y154" s="5"/>
      <c r="Z154" s="6"/>
      <c r="AA154" s="7"/>
      <c r="AN154" s="5"/>
    </row>
    <row r="155" ht="15.75" customHeight="1">
      <c r="A155" s="7"/>
      <c r="B155" s="7"/>
      <c r="C155" s="7"/>
      <c r="F155" s="7"/>
      <c r="G155" s="6"/>
      <c r="K155" s="5"/>
      <c r="N155" s="6"/>
      <c r="Y155" s="5"/>
      <c r="Z155" s="6"/>
      <c r="AA155" s="7"/>
      <c r="AN155" s="5"/>
    </row>
    <row r="156" ht="15.75" customHeight="1">
      <c r="A156" s="7"/>
      <c r="B156" s="7"/>
      <c r="C156" s="7"/>
      <c r="F156" s="7"/>
      <c r="G156" s="6"/>
      <c r="K156" s="5"/>
      <c r="N156" s="6"/>
      <c r="Y156" s="5"/>
      <c r="Z156" s="6"/>
      <c r="AA156" s="7"/>
      <c r="AN156" s="5"/>
    </row>
    <row r="157" ht="15.75" customHeight="1">
      <c r="A157" s="7"/>
      <c r="B157" s="7"/>
      <c r="C157" s="7"/>
      <c r="F157" s="7"/>
      <c r="G157" s="6"/>
      <c r="K157" s="5"/>
      <c r="N157" s="6"/>
      <c r="Y157" s="5"/>
      <c r="Z157" s="6"/>
      <c r="AA157" s="7"/>
      <c r="AN157" s="5"/>
    </row>
    <row r="158" ht="15.75" customHeight="1">
      <c r="A158" s="7"/>
      <c r="B158" s="7"/>
      <c r="C158" s="7"/>
      <c r="F158" s="7"/>
      <c r="G158" s="6"/>
      <c r="K158" s="5"/>
      <c r="N158" s="6"/>
      <c r="Y158" s="5"/>
      <c r="Z158" s="6"/>
      <c r="AA158" s="7"/>
      <c r="AN158" s="5"/>
    </row>
    <row r="159" ht="15.75" customHeight="1">
      <c r="A159" s="7"/>
      <c r="B159" s="7"/>
      <c r="C159" s="7"/>
      <c r="F159" s="7"/>
      <c r="G159" s="6"/>
      <c r="K159" s="5"/>
      <c r="N159" s="6"/>
      <c r="Y159" s="5"/>
      <c r="Z159" s="6"/>
      <c r="AA159" s="7"/>
      <c r="AN159" s="5"/>
    </row>
    <row r="160" ht="15.75" customHeight="1">
      <c r="A160" s="7"/>
      <c r="B160" s="7"/>
      <c r="C160" s="7"/>
      <c r="F160" s="7"/>
      <c r="G160" s="6"/>
      <c r="K160" s="5"/>
      <c r="N160" s="6"/>
      <c r="Y160" s="5"/>
      <c r="Z160" s="6"/>
      <c r="AA160" s="7"/>
      <c r="AN160" s="5"/>
    </row>
    <row r="161" ht="15.75" customHeight="1">
      <c r="A161" s="7"/>
      <c r="B161" s="7"/>
      <c r="C161" s="7"/>
      <c r="F161" s="7"/>
      <c r="G161" s="6"/>
      <c r="K161" s="5"/>
      <c r="N161" s="6"/>
      <c r="Y161" s="5"/>
      <c r="Z161" s="6"/>
      <c r="AA161" s="7"/>
      <c r="AN161" s="5"/>
    </row>
    <row r="162" ht="15.75" customHeight="1">
      <c r="A162" s="7"/>
      <c r="B162" s="7"/>
      <c r="C162" s="7"/>
      <c r="F162" s="7"/>
      <c r="G162" s="6"/>
      <c r="K162" s="5"/>
      <c r="N162" s="6"/>
      <c r="Y162" s="5"/>
      <c r="Z162" s="6"/>
      <c r="AA162" s="7"/>
      <c r="AN162" s="5"/>
    </row>
    <row r="163" ht="15.75" customHeight="1">
      <c r="A163" s="7"/>
      <c r="B163" s="7"/>
      <c r="C163" s="7"/>
      <c r="F163" s="7"/>
      <c r="G163" s="6"/>
      <c r="K163" s="5"/>
      <c r="N163" s="6"/>
      <c r="Y163" s="5"/>
      <c r="Z163" s="6"/>
      <c r="AA163" s="7"/>
      <c r="AN163" s="5"/>
    </row>
    <row r="164" ht="15.75" customHeight="1">
      <c r="A164" s="7"/>
      <c r="B164" s="7"/>
      <c r="C164" s="7"/>
      <c r="F164" s="7"/>
      <c r="G164" s="6"/>
      <c r="K164" s="5"/>
      <c r="N164" s="6"/>
      <c r="Y164" s="5"/>
      <c r="Z164" s="6"/>
      <c r="AA164" s="7"/>
      <c r="AN164" s="5"/>
    </row>
    <row r="165" ht="15.75" customHeight="1">
      <c r="A165" s="7"/>
      <c r="B165" s="7"/>
      <c r="C165" s="7"/>
      <c r="F165" s="7"/>
      <c r="G165" s="6"/>
      <c r="K165" s="5"/>
      <c r="N165" s="6"/>
      <c r="Y165" s="5"/>
      <c r="Z165" s="6"/>
      <c r="AA165" s="7"/>
      <c r="AN165" s="5"/>
    </row>
    <row r="166" ht="15.75" customHeight="1">
      <c r="A166" s="7"/>
      <c r="B166" s="7"/>
      <c r="C166" s="7"/>
      <c r="F166" s="7"/>
      <c r="G166" s="6"/>
      <c r="K166" s="5"/>
      <c r="N166" s="6"/>
      <c r="Y166" s="5"/>
      <c r="Z166" s="6"/>
      <c r="AA166" s="7"/>
      <c r="AN166" s="5"/>
    </row>
    <row r="167" ht="15.75" customHeight="1">
      <c r="A167" s="7"/>
      <c r="B167" s="7"/>
      <c r="C167" s="7"/>
      <c r="F167" s="7"/>
      <c r="G167" s="6"/>
      <c r="K167" s="5"/>
      <c r="N167" s="6"/>
      <c r="Y167" s="5"/>
      <c r="Z167" s="6"/>
      <c r="AA167" s="7"/>
      <c r="AN167" s="5"/>
    </row>
    <row r="168" ht="15.75" customHeight="1">
      <c r="A168" s="7"/>
      <c r="B168" s="7"/>
      <c r="C168" s="7"/>
      <c r="F168" s="7"/>
      <c r="G168" s="6"/>
      <c r="K168" s="5"/>
      <c r="N168" s="6"/>
      <c r="Y168" s="5"/>
      <c r="Z168" s="6"/>
      <c r="AA168" s="7"/>
      <c r="AN168" s="5"/>
    </row>
    <row r="169" ht="15.75" customHeight="1">
      <c r="A169" s="7"/>
      <c r="B169" s="7"/>
      <c r="C169" s="7"/>
      <c r="F169" s="7"/>
      <c r="G169" s="6"/>
      <c r="K169" s="5"/>
      <c r="N169" s="6"/>
      <c r="Y169" s="5"/>
      <c r="Z169" s="6"/>
      <c r="AA169" s="7"/>
      <c r="AN169" s="5"/>
    </row>
    <row r="170" ht="15.75" customHeight="1">
      <c r="A170" s="7"/>
      <c r="B170" s="7"/>
      <c r="C170" s="7"/>
      <c r="F170" s="7"/>
      <c r="G170" s="6"/>
      <c r="K170" s="5"/>
      <c r="N170" s="6"/>
      <c r="Y170" s="5"/>
      <c r="Z170" s="6"/>
      <c r="AA170" s="7"/>
      <c r="AN170" s="5"/>
    </row>
    <row r="171" ht="15.75" customHeight="1">
      <c r="A171" s="7"/>
      <c r="B171" s="7"/>
      <c r="C171" s="7"/>
      <c r="F171" s="7"/>
      <c r="G171" s="6"/>
      <c r="K171" s="5"/>
      <c r="N171" s="6"/>
      <c r="Y171" s="5"/>
      <c r="Z171" s="6"/>
      <c r="AA171" s="7"/>
      <c r="AN171" s="5"/>
    </row>
    <row r="172" ht="15.75" customHeight="1">
      <c r="A172" s="7"/>
      <c r="B172" s="7"/>
      <c r="C172" s="7"/>
      <c r="F172" s="7"/>
      <c r="G172" s="6"/>
      <c r="K172" s="5"/>
      <c r="N172" s="6"/>
      <c r="Y172" s="5"/>
      <c r="Z172" s="6"/>
      <c r="AA172" s="7"/>
      <c r="AN172" s="5"/>
    </row>
    <row r="173" ht="15.75" customHeight="1">
      <c r="A173" s="7"/>
      <c r="B173" s="7"/>
      <c r="C173" s="7"/>
      <c r="F173" s="7"/>
      <c r="G173" s="6"/>
      <c r="K173" s="5"/>
      <c r="N173" s="6"/>
      <c r="Y173" s="5"/>
      <c r="Z173" s="6"/>
      <c r="AA173" s="7"/>
      <c r="AN173" s="5"/>
    </row>
    <row r="174" ht="15.75" customHeight="1">
      <c r="A174" s="7"/>
      <c r="B174" s="7"/>
      <c r="C174" s="7"/>
      <c r="F174" s="7"/>
      <c r="G174" s="6"/>
      <c r="K174" s="5"/>
      <c r="N174" s="6"/>
      <c r="Y174" s="5"/>
      <c r="Z174" s="6"/>
      <c r="AA174" s="7"/>
      <c r="AN174" s="5"/>
    </row>
    <row r="175" ht="15.75" customHeight="1">
      <c r="A175" s="7"/>
      <c r="B175" s="7"/>
      <c r="C175" s="7"/>
      <c r="F175" s="7"/>
      <c r="G175" s="6"/>
      <c r="K175" s="5"/>
      <c r="N175" s="6"/>
      <c r="Y175" s="5"/>
      <c r="Z175" s="6"/>
      <c r="AA175" s="7"/>
      <c r="AN175" s="5"/>
    </row>
    <row r="176" ht="15.75" customHeight="1">
      <c r="A176" s="7"/>
      <c r="B176" s="7"/>
      <c r="C176" s="7"/>
      <c r="F176" s="7"/>
      <c r="G176" s="6"/>
      <c r="K176" s="5"/>
      <c r="N176" s="6"/>
      <c r="Y176" s="5"/>
      <c r="Z176" s="6"/>
      <c r="AA176" s="7"/>
      <c r="AN176" s="5"/>
    </row>
    <row r="177" ht="15.75" customHeight="1">
      <c r="A177" s="7"/>
      <c r="B177" s="7"/>
      <c r="C177" s="7"/>
      <c r="F177" s="7"/>
      <c r="G177" s="6"/>
      <c r="K177" s="5"/>
      <c r="N177" s="6"/>
      <c r="Y177" s="5"/>
      <c r="Z177" s="6"/>
      <c r="AA177" s="7"/>
      <c r="AN177" s="5"/>
    </row>
    <row r="178" ht="15.75" customHeight="1">
      <c r="A178" s="7"/>
      <c r="B178" s="7"/>
      <c r="C178" s="7"/>
      <c r="F178" s="7"/>
      <c r="G178" s="6"/>
      <c r="K178" s="5"/>
      <c r="N178" s="6"/>
      <c r="Y178" s="5"/>
      <c r="Z178" s="6"/>
      <c r="AA178" s="7"/>
      <c r="AN178" s="5"/>
    </row>
    <row r="179" ht="15.75" customHeight="1">
      <c r="A179" s="7"/>
      <c r="B179" s="7"/>
      <c r="C179" s="7"/>
      <c r="F179" s="7"/>
      <c r="G179" s="6"/>
      <c r="K179" s="5"/>
      <c r="N179" s="6"/>
      <c r="Y179" s="5"/>
      <c r="Z179" s="6"/>
      <c r="AA179" s="7"/>
      <c r="AN179" s="5"/>
    </row>
    <row r="180" ht="15.75" customHeight="1">
      <c r="A180" s="7"/>
      <c r="B180" s="7"/>
      <c r="C180" s="7"/>
      <c r="F180" s="7"/>
      <c r="G180" s="6"/>
      <c r="K180" s="5"/>
      <c r="N180" s="6"/>
      <c r="Y180" s="5"/>
      <c r="Z180" s="6"/>
      <c r="AA180" s="7"/>
      <c r="AN180" s="5"/>
    </row>
    <row r="181" ht="15.75" customHeight="1">
      <c r="A181" s="7"/>
      <c r="B181" s="7"/>
      <c r="C181" s="7"/>
      <c r="F181" s="7"/>
      <c r="G181" s="6"/>
      <c r="K181" s="5"/>
      <c r="N181" s="6"/>
      <c r="Y181" s="5"/>
      <c r="Z181" s="6"/>
      <c r="AA181" s="7"/>
      <c r="AN181" s="5"/>
    </row>
    <row r="182" ht="15.75" customHeight="1">
      <c r="A182" s="7"/>
      <c r="B182" s="7"/>
      <c r="C182" s="7"/>
      <c r="F182" s="7"/>
      <c r="G182" s="6"/>
      <c r="K182" s="5"/>
      <c r="N182" s="6"/>
      <c r="Y182" s="5"/>
      <c r="Z182" s="6"/>
      <c r="AA182" s="7"/>
      <c r="AN182" s="5"/>
    </row>
    <row r="183" ht="15.75" customHeight="1">
      <c r="A183" s="7"/>
      <c r="B183" s="7"/>
      <c r="C183" s="7"/>
      <c r="F183" s="7"/>
      <c r="G183" s="6"/>
      <c r="K183" s="5"/>
      <c r="N183" s="6"/>
      <c r="Y183" s="5"/>
      <c r="Z183" s="6"/>
      <c r="AA183" s="7"/>
      <c r="AN183" s="5"/>
    </row>
    <row r="184" ht="15.75" customHeight="1">
      <c r="A184" s="7"/>
      <c r="B184" s="7"/>
      <c r="C184" s="7"/>
      <c r="F184" s="7"/>
      <c r="G184" s="6"/>
      <c r="K184" s="5"/>
      <c r="N184" s="6"/>
      <c r="Y184" s="5"/>
      <c r="Z184" s="6"/>
      <c r="AA184" s="7"/>
      <c r="AN184" s="5"/>
    </row>
    <row r="185" ht="15.75" customHeight="1">
      <c r="A185" s="7"/>
      <c r="B185" s="7"/>
      <c r="C185" s="7"/>
      <c r="F185" s="7"/>
      <c r="G185" s="6"/>
      <c r="K185" s="5"/>
      <c r="N185" s="6"/>
      <c r="Y185" s="5"/>
      <c r="Z185" s="6"/>
      <c r="AA185" s="7"/>
      <c r="AN185" s="5"/>
    </row>
    <row r="186" ht="15.75" customHeight="1">
      <c r="A186" s="7"/>
      <c r="B186" s="7"/>
      <c r="C186" s="7"/>
      <c r="F186" s="7"/>
      <c r="G186" s="6"/>
      <c r="K186" s="5"/>
      <c r="N186" s="6"/>
      <c r="Y186" s="5"/>
      <c r="Z186" s="6"/>
      <c r="AA186" s="7"/>
      <c r="AN186" s="5"/>
    </row>
    <row r="187" ht="15.75" customHeight="1">
      <c r="A187" s="7"/>
      <c r="B187" s="7"/>
      <c r="C187" s="7"/>
      <c r="F187" s="7"/>
      <c r="G187" s="6"/>
      <c r="K187" s="5"/>
      <c r="N187" s="6"/>
      <c r="Y187" s="5"/>
      <c r="Z187" s="6"/>
      <c r="AA187" s="7"/>
      <c r="AN187" s="5"/>
    </row>
    <row r="188" ht="15.75" customHeight="1">
      <c r="A188" s="7"/>
      <c r="B188" s="7"/>
      <c r="C188" s="7"/>
      <c r="F188" s="7"/>
      <c r="G188" s="6"/>
      <c r="K188" s="5"/>
      <c r="N188" s="6"/>
      <c r="Y188" s="5"/>
      <c r="Z188" s="6"/>
      <c r="AA188" s="7"/>
      <c r="AN188" s="5"/>
    </row>
    <row r="189" ht="15.75" customHeight="1">
      <c r="A189" s="7"/>
      <c r="B189" s="7"/>
      <c r="C189" s="7"/>
      <c r="F189" s="7"/>
      <c r="G189" s="6"/>
      <c r="K189" s="5"/>
      <c r="N189" s="6"/>
      <c r="Y189" s="5"/>
      <c r="Z189" s="6"/>
      <c r="AA189" s="7"/>
      <c r="AN189" s="5"/>
    </row>
    <row r="190" ht="15.75" customHeight="1">
      <c r="A190" s="7"/>
      <c r="B190" s="7"/>
      <c r="C190" s="7"/>
      <c r="F190" s="7"/>
      <c r="G190" s="6"/>
      <c r="K190" s="5"/>
      <c r="N190" s="6"/>
      <c r="Y190" s="5"/>
      <c r="Z190" s="6"/>
      <c r="AA190" s="7"/>
      <c r="AN190" s="5"/>
    </row>
    <row r="191" ht="15.75" customHeight="1">
      <c r="A191" s="7"/>
      <c r="B191" s="7"/>
      <c r="C191" s="7"/>
      <c r="F191" s="7"/>
      <c r="G191" s="6"/>
      <c r="K191" s="5"/>
      <c r="N191" s="6"/>
      <c r="Y191" s="5"/>
      <c r="Z191" s="6"/>
      <c r="AA191" s="7"/>
      <c r="AN191" s="5"/>
    </row>
    <row r="192" ht="15.75" customHeight="1">
      <c r="A192" s="7"/>
      <c r="B192" s="7"/>
      <c r="C192" s="7"/>
      <c r="F192" s="7"/>
      <c r="G192" s="6"/>
      <c r="K192" s="5"/>
      <c r="N192" s="6"/>
      <c r="Y192" s="5"/>
      <c r="Z192" s="6"/>
      <c r="AA192" s="7"/>
      <c r="AN192" s="5"/>
    </row>
    <row r="193" ht="15.75" customHeight="1">
      <c r="A193" s="7"/>
      <c r="B193" s="7"/>
      <c r="C193" s="7"/>
      <c r="F193" s="7"/>
      <c r="G193" s="6"/>
      <c r="K193" s="5"/>
      <c r="N193" s="6"/>
      <c r="Y193" s="5"/>
      <c r="Z193" s="6"/>
      <c r="AA193" s="7"/>
      <c r="AN193" s="5"/>
    </row>
    <row r="194" ht="15.75" customHeight="1">
      <c r="A194" s="7"/>
      <c r="B194" s="7"/>
      <c r="C194" s="7"/>
      <c r="F194" s="7"/>
      <c r="G194" s="6"/>
      <c r="K194" s="5"/>
      <c r="N194" s="6"/>
      <c r="Y194" s="5"/>
      <c r="Z194" s="6"/>
      <c r="AA194" s="7"/>
      <c r="AN194" s="5"/>
    </row>
    <row r="195" ht="15.75" customHeight="1">
      <c r="A195" s="7"/>
      <c r="B195" s="7"/>
      <c r="C195" s="7"/>
      <c r="F195" s="7"/>
      <c r="G195" s="6"/>
      <c r="K195" s="5"/>
      <c r="N195" s="6"/>
      <c r="Y195" s="5"/>
      <c r="Z195" s="6"/>
      <c r="AA195" s="7"/>
      <c r="AN195" s="5"/>
    </row>
    <row r="196" ht="15.75" customHeight="1">
      <c r="A196" s="7"/>
      <c r="B196" s="7"/>
      <c r="C196" s="7"/>
      <c r="F196" s="7"/>
      <c r="G196" s="6"/>
      <c r="K196" s="5"/>
      <c r="N196" s="6"/>
      <c r="Y196" s="5"/>
      <c r="Z196" s="6"/>
      <c r="AA196" s="7"/>
      <c r="AN196" s="5"/>
    </row>
    <row r="197" ht="15.75" customHeight="1">
      <c r="A197" s="7"/>
      <c r="B197" s="7"/>
      <c r="C197" s="7"/>
      <c r="F197" s="7"/>
      <c r="G197" s="6"/>
      <c r="K197" s="5"/>
      <c r="N197" s="6"/>
      <c r="Y197" s="5"/>
      <c r="Z197" s="6"/>
      <c r="AA197" s="7"/>
      <c r="AN197" s="5"/>
    </row>
    <row r="198" ht="15.75" customHeight="1">
      <c r="A198" s="7"/>
      <c r="B198" s="7"/>
      <c r="C198" s="7"/>
      <c r="F198" s="7"/>
      <c r="G198" s="6"/>
      <c r="K198" s="5"/>
      <c r="N198" s="6"/>
      <c r="Y198" s="5"/>
      <c r="Z198" s="6"/>
      <c r="AA198" s="7"/>
      <c r="AN198" s="5"/>
    </row>
    <row r="199" ht="15.75" customHeight="1">
      <c r="A199" s="7"/>
      <c r="B199" s="7"/>
      <c r="C199" s="7"/>
      <c r="F199" s="7"/>
      <c r="G199" s="6"/>
      <c r="K199" s="5"/>
      <c r="N199" s="6"/>
      <c r="Y199" s="5"/>
      <c r="Z199" s="6"/>
      <c r="AA199" s="7"/>
      <c r="AN199" s="5"/>
    </row>
    <row r="200" ht="15.75" customHeight="1">
      <c r="A200" s="7"/>
      <c r="B200" s="7"/>
      <c r="C200" s="7"/>
      <c r="F200" s="7"/>
      <c r="G200" s="6"/>
      <c r="K200" s="5"/>
      <c r="N200" s="6"/>
      <c r="Y200" s="5"/>
      <c r="Z200" s="6"/>
      <c r="AA200" s="7"/>
      <c r="AN200" s="5"/>
    </row>
    <row r="201" ht="15.75" customHeight="1">
      <c r="A201" s="7"/>
      <c r="B201" s="7"/>
      <c r="C201" s="7"/>
      <c r="F201" s="7"/>
      <c r="G201" s="6"/>
      <c r="K201" s="5"/>
      <c r="N201" s="6"/>
      <c r="Y201" s="5"/>
      <c r="Z201" s="6"/>
      <c r="AA201" s="7"/>
      <c r="AN201" s="5"/>
    </row>
    <row r="202" ht="15.75" customHeight="1">
      <c r="A202" s="7"/>
      <c r="B202" s="7"/>
      <c r="C202" s="7"/>
      <c r="F202" s="7"/>
      <c r="G202" s="6"/>
      <c r="K202" s="5"/>
      <c r="N202" s="6"/>
      <c r="Y202" s="5"/>
      <c r="Z202" s="6"/>
      <c r="AA202" s="7"/>
      <c r="AN202" s="5"/>
    </row>
    <row r="203" ht="15.75" customHeight="1">
      <c r="A203" s="7"/>
      <c r="B203" s="7"/>
      <c r="C203" s="7"/>
      <c r="F203" s="7"/>
      <c r="G203" s="6"/>
      <c r="K203" s="5"/>
      <c r="N203" s="6"/>
      <c r="Y203" s="5"/>
      <c r="Z203" s="6"/>
      <c r="AA203" s="7"/>
      <c r="AN203" s="5"/>
    </row>
    <row r="204" ht="15.75" customHeight="1">
      <c r="A204" s="7"/>
      <c r="B204" s="7"/>
      <c r="C204" s="7"/>
      <c r="F204" s="7"/>
      <c r="G204" s="6"/>
      <c r="K204" s="5"/>
      <c r="N204" s="6"/>
      <c r="Y204" s="5"/>
      <c r="Z204" s="6"/>
      <c r="AA204" s="7"/>
      <c r="AN204" s="5"/>
    </row>
    <row r="205" ht="15.75" customHeight="1">
      <c r="A205" s="7"/>
      <c r="B205" s="7"/>
      <c r="C205" s="7"/>
      <c r="F205" s="7"/>
      <c r="G205" s="6"/>
      <c r="K205" s="5"/>
      <c r="N205" s="6"/>
      <c r="Y205" s="5"/>
      <c r="Z205" s="6"/>
      <c r="AA205" s="7"/>
      <c r="AN205" s="5"/>
    </row>
    <row r="206" ht="15.75" customHeight="1">
      <c r="A206" s="7"/>
      <c r="B206" s="7"/>
      <c r="C206" s="7"/>
      <c r="F206" s="7"/>
      <c r="G206" s="6"/>
      <c r="K206" s="5"/>
      <c r="N206" s="6"/>
      <c r="Y206" s="5"/>
      <c r="Z206" s="6"/>
      <c r="AA206" s="7"/>
      <c r="AN206" s="5"/>
    </row>
    <row r="207" ht="15.75" customHeight="1">
      <c r="A207" s="7"/>
      <c r="B207" s="7"/>
      <c r="C207" s="7"/>
      <c r="F207" s="7"/>
      <c r="G207" s="6"/>
      <c r="K207" s="5"/>
      <c r="N207" s="6"/>
      <c r="Y207" s="5"/>
      <c r="Z207" s="6"/>
      <c r="AA207" s="7"/>
      <c r="AN207" s="5"/>
    </row>
    <row r="208" ht="15.75" customHeight="1">
      <c r="A208" s="7"/>
      <c r="B208" s="7"/>
      <c r="C208" s="7"/>
      <c r="F208" s="7"/>
      <c r="G208" s="6"/>
      <c r="K208" s="5"/>
      <c r="N208" s="6"/>
      <c r="Y208" s="5"/>
      <c r="Z208" s="6"/>
      <c r="AA208" s="7"/>
      <c r="AN208" s="5"/>
    </row>
    <row r="209" ht="15.75" customHeight="1">
      <c r="A209" s="7"/>
      <c r="B209" s="7"/>
      <c r="C209" s="7"/>
      <c r="F209" s="7"/>
      <c r="G209" s="6"/>
      <c r="K209" s="5"/>
      <c r="N209" s="6"/>
      <c r="Y209" s="5"/>
      <c r="Z209" s="6"/>
      <c r="AA209" s="7"/>
      <c r="AN209" s="5"/>
    </row>
    <row r="210" ht="15.75" customHeight="1">
      <c r="A210" s="7"/>
      <c r="B210" s="7"/>
      <c r="C210" s="7"/>
      <c r="F210" s="7"/>
      <c r="G210" s="6"/>
      <c r="K210" s="5"/>
      <c r="N210" s="6"/>
      <c r="Y210" s="5"/>
      <c r="Z210" s="6"/>
      <c r="AA210" s="7"/>
      <c r="AN210" s="5"/>
    </row>
    <row r="211" ht="15.75" customHeight="1">
      <c r="A211" s="7"/>
      <c r="B211" s="7"/>
      <c r="C211" s="7"/>
      <c r="F211" s="7"/>
      <c r="G211" s="6"/>
      <c r="K211" s="5"/>
      <c r="N211" s="6"/>
      <c r="Y211" s="5"/>
      <c r="Z211" s="6"/>
      <c r="AA211" s="7"/>
      <c r="AN211" s="5"/>
    </row>
    <row r="212" ht="15.75" customHeight="1">
      <c r="A212" s="7"/>
      <c r="B212" s="7"/>
      <c r="C212" s="7"/>
      <c r="F212" s="7"/>
      <c r="G212" s="6"/>
      <c r="K212" s="5"/>
      <c r="N212" s="6"/>
      <c r="Y212" s="5"/>
      <c r="Z212" s="6"/>
      <c r="AA212" s="7"/>
      <c r="AN212" s="5"/>
    </row>
    <row r="213" ht="15.75" customHeight="1">
      <c r="A213" s="7"/>
      <c r="B213" s="7"/>
      <c r="C213" s="7"/>
      <c r="F213" s="7"/>
      <c r="G213" s="6"/>
      <c r="K213" s="5"/>
      <c r="N213" s="6"/>
      <c r="Y213" s="5"/>
      <c r="Z213" s="6"/>
      <c r="AA213" s="7"/>
      <c r="AN213" s="5"/>
    </row>
    <row r="214" ht="15.75" customHeight="1">
      <c r="A214" s="7"/>
      <c r="B214" s="7"/>
      <c r="C214" s="7"/>
      <c r="F214" s="7"/>
      <c r="G214" s="6"/>
      <c r="K214" s="5"/>
      <c r="N214" s="6"/>
      <c r="Y214" s="5"/>
      <c r="Z214" s="6"/>
      <c r="AA214" s="7"/>
      <c r="AN214" s="5"/>
    </row>
    <row r="215" ht="15.75" customHeight="1">
      <c r="A215" s="7"/>
      <c r="B215" s="7"/>
      <c r="C215" s="7"/>
      <c r="F215" s="7"/>
      <c r="G215" s="6"/>
      <c r="K215" s="5"/>
      <c r="N215" s="6"/>
      <c r="Y215" s="5"/>
      <c r="Z215" s="6"/>
      <c r="AA215" s="7"/>
      <c r="AN215" s="5"/>
    </row>
    <row r="216" ht="15.75" customHeight="1">
      <c r="A216" s="7"/>
      <c r="B216" s="7"/>
      <c r="C216" s="7"/>
      <c r="F216" s="7"/>
      <c r="G216" s="6"/>
      <c r="K216" s="5"/>
      <c r="N216" s="6"/>
      <c r="Y216" s="5"/>
      <c r="Z216" s="6"/>
      <c r="AA216" s="7"/>
      <c r="AN216" s="5"/>
    </row>
    <row r="217" ht="15.75" customHeight="1">
      <c r="A217" s="7"/>
      <c r="B217" s="7"/>
      <c r="C217" s="7"/>
      <c r="F217" s="7"/>
      <c r="G217" s="6"/>
      <c r="K217" s="5"/>
      <c r="N217" s="6"/>
      <c r="Y217" s="5"/>
      <c r="Z217" s="6"/>
      <c r="AA217" s="7"/>
      <c r="AN217" s="5"/>
    </row>
    <row r="218" ht="15.75" customHeight="1">
      <c r="A218" s="7"/>
      <c r="B218" s="7"/>
      <c r="C218" s="7"/>
      <c r="F218" s="7"/>
      <c r="G218" s="6"/>
      <c r="K218" s="5"/>
      <c r="N218" s="6"/>
      <c r="Y218" s="5"/>
      <c r="Z218" s="6"/>
      <c r="AA218" s="7"/>
      <c r="AN218" s="5"/>
    </row>
    <row r="219" ht="15.75" customHeight="1">
      <c r="A219" s="7"/>
      <c r="B219" s="7"/>
      <c r="C219" s="7"/>
      <c r="F219" s="7"/>
      <c r="G219" s="6"/>
      <c r="K219" s="5"/>
      <c r="N219" s="6"/>
      <c r="Y219" s="5"/>
      <c r="Z219" s="6"/>
      <c r="AA219" s="7"/>
      <c r="AN219" s="5"/>
    </row>
    <row r="220" ht="15.75" customHeight="1">
      <c r="A220" s="7"/>
      <c r="B220" s="7"/>
      <c r="C220" s="7"/>
      <c r="F220" s="7"/>
      <c r="G220" s="6"/>
      <c r="K220" s="5"/>
      <c r="N220" s="6"/>
      <c r="Y220" s="5"/>
      <c r="Z220" s="6"/>
      <c r="AA220" s="7"/>
      <c r="AN220" s="5"/>
    </row>
    <row r="221" ht="15.75" customHeight="1">
      <c r="A221" s="7"/>
      <c r="B221" s="7"/>
      <c r="C221" s="7"/>
      <c r="F221" s="7"/>
      <c r="G221" s="6"/>
      <c r="K221" s="5"/>
      <c r="N221" s="6"/>
      <c r="Y221" s="5"/>
      <c r="Z221" s="6"/>
      <c r="AA221" s="7"/>
      <c r="AN221" s="5"/>
    </row>
    <row r="222" ht="15.75" customHeight="1">
      <c r="A222" s="7"/>
      <c r="B222" s="7"/>
      <c r="C222" s="7"/>
      <c r="F222" s="7"/>
      <c r="G222" s="6"/>
      <c r="K222" s="5"/>
      <c r="N222" s="6"/>
      <c r="Y222" s="5"/>
      <c r="Z222" s="6"/>
      <c r="AA222" s="7"/>
      <c r="AN222" s="5"/>
    </row>
    <row r="223" ht="15.75" customHeight="1">
      <c r="A223" s="7"/>
      <c r="B223" s="7"/>
      <c r="C223" s="7"/>
      <c r="F223" s="7"/>
      <c r="G223" s="6"/>
      <c r="K223" s="5"/>
      <c r="N223" s="6"/>
      <c r="Y223" s="5"/>
      <c r="Z223" s="6"/>
      <c r="AA223" s="7"/>
      <c r="AN223" s="5"/>
    </row>
    <row r="224" ht="15.75" customHeight="1">
      <c r="A224" s="7"/>
      <c r="B224" s="7"/>
      <c r="C224" s="7"/>
      <c r="F224" s="7"/>
      <c r="G224" s="6"/>
      <c r="K224" s="5"/>
      <c r="N224" s="6"/>
      <c r="Y224" s="5"/>
      <c r="Z224" s="6"/>
      <c r="AA224" s="7"/>
      <c r="AN224" s="5"/>
    </row>
    <row r="225" ht="15.75" customHeight="1">
      <c r="A225" s="7"/>
      <c r="B225" s="7"/>
      <c r="C225" s="7"/>
      <c r="F225" s="7"/>
      <c r="G225" s="6"/>
      <c r="K225" s="5"/>
      <c r="N225" s="6"/>
      <c r="Y225" s="5"/>
      <c r="Z225" s="6"/>
      <c r="AA225" s="7"/>
      <c r="AN225" s="5"/>
    </row>
    <row r="226" ht="15.75" customHeight="1">
      <c r="A226" s="7"/>
      <c r="B226" s="7"/>
      <c r="C226" s="7"/>
      <c r="F226" s="7"/>
      <c r="G226" s="6"/>
      <c r="K226" s="5"/>
      <c r="N226" s="6"/>
      <c r="Y226" s="5"/>
      <c r="Z226" s="6"/>
      <c r="AA226" s="7"/>
      <c r="AN226" s="5"/>
    </row>
    <row r="227" ht="15.75" customHeight="1">
      <c r="A227" s="7"/>
      <c r="B227" s="7"/>
      <c r="C227" s="7"/>
      <c r="F227" s="7"/>
      <c r="G227" s="6"/>
      <c r="K227" s="5"/>
      <c r="N227" s="6"/>
      <c r="Y227" s="5"/>
      <c r="Z227" s="6"/>
      <c r="AA227" s="7"/>
      <c r="AN227" s="5"/>
    </row>
    <row r="228" ht="15.75" customHeight="1">
      <c r="A228" s="7"/>
      <c r="B228" s="7"/>
      <c r="C228" s="7"/>
      <c r="F228" s="7"/>
      <c r="G228" s="6"/>
      <c r="K228" s="5"/>
      <c r="N228" s="6"/>
      <c r="Y228" s="5"/>
      <c r="Z228" s="6"/>
      <c r="AA228" s="7"/>
      <c r="AN228" s="5"/>
    </row>
    <row r="229" ht="15.75" customHeight="1">
      <c r="A229" s="7"/>
      <c r="B229" s="7"/>
      <c r="C229" s="7"/>
      <c r="F229" s="7"/>
      <c r="G229" s="6"/>
      <c r="K229" s="5"/>
      <c r="N229" s="6"/>
      <c r="Y229" s="5"/>
      <c r="Z229" s="6"/>
      <c r="AA229" s="7"/>
      <c r="AN229" s="5"/>
    </row>
    <row r="230" ht="15.75" customHeight="1">
      <c r="A230" s="7"/>
      <c r="B230" s="7"/>
      <c r="C230" s="7"/>
      <c r="F230" s="7"/>
      <c r="G230" s="6"/>
      <c r="K230" s="5"/>
      <c r="N230" s="6"/>
      <c r="Y230" s="5"/>
      <c r="Z230" s="6"/>
      <c r="AA230" s="7"/>
      <c r="AN230" s="5"/>
    </row>
    <row r="231" ht="15.75" customHeight="1">
      <c r="A231" s="7"/>
      <c r="B231" s="7"/>
      <c r="C231" s="7"/>
      <c r="F231" s="7"/>
      <c r="G231" s="6"/>
      <c r="K231" s="5"/>
      <c r="N231" s="6"/>
      <c r="Y231" s="5"/>
      <c r="Z231" s="6"/>
      <c r="AA231" s="7"/>
      <c r="AN231" s="5"/>
    </row>
    <row r="232" ht="15.75" customHeight="1">
      <c r="A232" s="7"/>
      <c r="B232" s="7"/>
      <c r="C232" s="7"/>
      <c r="F232" s="7"/>
      <c r="G232" s="6"/>
      <c r="K232" s="5"/>
      <c r="N232" s="6"/>
      <c r="Y232" s="5"/>
      <c r="Z232" s="6"/>
      <c r="AA232" s="7"/>
      <c r="AN232" s="5"/>
    </row>
    <row r="233" ht="15.75" customHeight="1">
      <c r="A233" s="7"/>
      <c r="B233" s="7"/>
      <c r="C233" s="7"/>
      <c r="F233" s="7"/>
      <c r="G233" s="6"/>
      <c r="K233" s="5"/>
      <c r="N233" s="6"/>
      <c r="Y233" s="5"/>
      <c r="Z233" s="6"/>
      <c r="AA233" s="7"/>
      <c r="AN233" s="5"/>
    </row>
    <row r="234" ht="15.75" customHeight="1">
      <c r="A234" s="7"/>
      <c r="B234" s="7"/>
      <c r="C234" s="7"/>
      <c r="F234" s="7"/>
      <c r="G234" s="6"/>
      <c r="K234" s="5"/>
      <c r="N234" s="6"/>
      <c r="Y234" s="5"/>
      <c r="Z234" s="6"/>
      <c r="AA234" s="7"/>
      <c r="AN234" s="5"/>
    </row>
    <row r="235" ht="15.75" customHeight="1">
      <c r="A235" s="7"/>
      <c r="B235" s="7"/>
      <c r="C235" s="7"/>
      <c r="F235" s="7"/>
      <c r="G235" s="6"/>
      <c r="K235" s="5"/>
      <c r="N235" s="6"/>
      <c r="Y235" s="5"/>
      <c r="Z235" s="6"/>
      <c r="AA235" s="7"/>
      <c r="AN235" s="5"/>
    </row>
    <row r="236" ht="15.75" customHeight="1">
      <c r="A236" s="7"/>
      <c r="B236" s="7"/>
      <c r="C236" s="7"/>
      <c r="F236" s="7"/>
      <c r="G236" s="6"/>
      <c r="K236" s="5"/>
      <c r="N236" s="6"/>
      <c r="Y236" s="5"/>
      <c r="Z236" s="6"/>
      <c r="AA236" s="7"/>
      <c r="AN236" s="5"/>
    </row>
    <row r="237" ht="15.75" customHeight="1">
      <c r="A237" s="7"/>
      <c r="B237" s="7"/>
      <c r="C237" s="7"/>
      <c r="F237" s="7"/>
      <c r="G237" s="6"/>
      <c r="K237" s="5"/>
      <c r="N237" s="6"/>
      <c r="Y237" s="5"/>
      <c r="Z237" s="6"/>
      <c r="AA237" s="7"/>
      <c r="AN237" s="5"/>
    </row>
    <row r="238" ht="15.75" customHeight="1">
      <c r="A238" s="7"/>
      <c r="B238" s="7"/>
      <c r="C238" s="7"/>
      <c r="F238" s="7"/>
      <c r="G238" s="6"/>
      <c r="K238" s="5"/>
      <c r="N238" s="6"/>
      <c r="Y238" s="5"/>
      <c r="Z238" s="6"/>
      <c r="AA238" s="7"/>
      <c r="AN238" s="5"/>
    </row>
    <row r="239" ht="15.75" customHeight="1">
      <c r="A239" s="7"/>
      <c r="B239" s="7"/>
      <c r="C239" s="7"/>
      <c r="F239" s="7"/>
      <c r="G239" s="6"/>
      <c r="K239" s="5"/>
      <c r="N239" s="6"/>
      <c r="Y239" s="5"/>
      <c r="Z239" s="6"/>
      <c r="AA239" s="7"/>
      <c r="AN239" s="5"/>
    </row>
    <row r="240" ht="15.75" customHeight="1">
      <c r="A240" s="7"/>
      <c r="B240" s="7"/>
      <c r="C240" s="7"/>
      <c r="F240" s="7"/>
      <c r="G240" s="6"/>
      <c r="K240" s="5"/>
      <c r="N240" s="6"/>
      <c r="Y240" s="5"/>
      <c r="Z240" s="6"/>
      <c r="AA240" s="7"/>
      <c r="AN240" s="5"/>
    </row>
    <row r="241" ht="15.75" customHeight="1">
      <c r="A241" s="7"/>
      <c r="B241" s="7"/>
      <c r="C241" s="7"/>
      <c r="F241" s="7"/>
      <c r="G241" s="6"/>
      <c r="K241" s="5"/>
      <c r="N241" s="6"/>
      <c r="Y241" s="5"/>
      <c r="Z241" s="6"/>
      <c r="AA241" s="7"/>
      <c r="AN241" s="5"/>
    </row>
    <row r="242" ht="15.75" customHeight="1">
      <c r="A242" s="7"/>
      <c r="B242" s="7"/>
      <c r="C242" s="7"/>
      <c r="F242" s="7"/>
      <c r="G242" s="6"/>
      <c r="K242" s="5"/>
      <c r="N242" s="6"/>
      <c r="Y242" s="5"/>
      <c r="Z242" s="6"/>
      <c r="AA242" s="7"/>
      <c r="AN242" s="5"/>
    </row>
    <row r="243" ht="15.75" customHeight="1">
      <c r="A243" s="7"/>
      <c r="B243" s="7"/>
      <c r="C243" s="7"/>
      <c r="F243" s="7"/>
      <c r="G243" s="6"/>
      <c r="K243" s="5"/>
      <c r="N243" s="6"/>
      <c r="Y243" s="5"/>
      <c r="Z243" s="6"/>
      <c r="AA243" s="7"/>
      <c r="AN243" s="5"/>
    </row>
    <row r="244" ht="15.75" customHeight="1">
      <c r="A244" s="7"/>
      <c r="B244" s="7"/>
      <c r="C244" s="7"/>
      <c r="F244" s="7"/>
      <c r="G244" s="6"/>
      <c r="K244" s="5"/>
      <c r="N244" s="6"/>
      <c r="Y244" s="5"/>
      <c r="Z244" s="6"/>
      <c r="AA244" s="7"/>
      <c r="AN244" s="5"/>
    </row>
    <row r="245" ht="15.75" customHeight="1">
      <c r="A245" s="7"/>
      <c r="B245" s="7"/>
      <c r="C245" s="7"/>
      <c r="F245" s="7"/>
      <c r="G245" s="6"/>
      <c r="K245" s="5"/>
      <c r="N245" s="6"/>
      <c r="Y245" s="5"/>
      <c r="Z245" s="6"/>
      <c r="AA245" s="7"/>
      <c r="AN245" s="5"/>
    </row>
    <row r="246" ht="15.75" customHeight="1">
      <c r="A246" s="7"/>
      <c r="B246" s="7"/>
      <c r="C246" s="7"/>
      <c r="F246" s="7"/>
      <c r="G246" s="6"/>
      <c r="K246" s="5"/>
      <c r="N246" s="6"/>
      <c r="Y246" s="5"/>
      <c r="Z246" s="6"/>
      <c r="AA246" s="7"/>
      <c r="AN246" s="5"/>
    </row>
    <row r="247" ht="15.75" customHeight="1">
      <c r="A247" s="7"/>
      <c r="B247" s="7"/>
      <c r="C247" s="7"/>
      <c r="F247" s="7"/>
      <c r="G247" s="6"/>
      <c r="K247" s="5"/>
      <c r="N247" s="6"/>
      <c r="Y247" s="5"/>
      <c r="Z247" s="6"/>
      <c r="AA247" s="7"/>
      <c r="AN247" s="5"/>
    </row>
    <row r="248" ht="15.75" customHeight="1">
      <c r="A248" s="7"/>
      <c r="B248" s="7"/>
      <c r="C248" s="7"/>
      <c r="F248" s="7"/>
      <c r="G248" s="6"/>
      <c r="K248" s="5"/>
      <c r="N248" s="6"/>
      <c r="Y248" s="5"/>
      <c r="Z248" s="6"/>
      <c r="AA248" s="7"/>
      <c r="AN248" s="5"/>
    </row>
    <row r="249" ht="15.75" customHeight="1">
      <c r="A249" s="7"/>
      <c r="B249" s="7"/>
      <c r="C249" s="7"/>
      <c r="F249" s="7"/>
      <c r="G249" s="6"/>
      <c r="K249" s="5"/>
      <c r="N249" s="6"/>
      <c r="Y249" s="5"/>
      <c r="Z249" s="6"/>
      <c r="AA249" s="7"/>
      <c r="AN249" s="5"/>
    </row>
    <row r="250" ht="15.75" customHeight="1">
      <c r="A250" s="7"/>
      <c r="B250" s="7"/>
      <c r="C250" s="7"/>
      <c r="F250" s="7"/>
      <c r="G250" s="6"/>
      <c r="K250" s="5"/>
      <c r="N250" s="6"/>
      <c r="Y250" s="5"/>
      <c r="Z250" s="6"/>
      <c r="AA250" s="7"/>
      <c r="AN250" s="5"/>
    </row>
    <row r="251" ht="15.75" customHeight="1">
      <c r="A251" s="7"/>
      <c r="B251" s="7"/>
      <c r="C251" s="7"/>
      <c r="F251" s="7"/>
      <c r="G251" s="6"/>
      <c r="K251" s="5"/>
      <c r="N251" s="6"/>
      <c r="Y251" s="5"/>
      <c r="Z251" s="6"/>
      <c r="AA251" s="7"/>
      <c r="AN251" s="5"/>
    </row>
    <row r="252" ht="15.75" customHeight="1">
      <c r="A252" s="7"/>
      <c r="B252" s="7"/>
      <c r="C252" s="7"/>
      <c r="F252" s="7"/>
      <c r="G252" s="6"/>
      <c r="K252" s="5"/>
      <c r="N252" s="6"/>
      <c r="Y252" s="5"/>
      <c r="Z252" s="6"/>
      <c r="AA252" s="7"/>
      <c r="AN252" s="5"/>
    </row>
    <row r="253" ht="15.75" customHeight="1">
      <c r="A253" s="7"/>
      <c r="B253" s="7"/>
      <c r="C253" s="7"/>
      <c r="F253" s="7"/>
      <c r="G253" s="6"/>
      <c r="K253" s="5"/>
      <c r="N253" s="6"/>
      <c r="Y253" s="5"/>
      <c r="Z253" s="6"/>
      <c r="AA253" s="7"/>
      <c r="AN253" s="5"/>
    </row>
    <row r="254" ht="15.75" customHeight="1">
      <c r="A254" s="7"/>
      <c r="B254" s="7"/>
      <c r="C254" s="7"/>
      <c r="F254" s="7"/>
      <c r="G254" s="6"/>
      <c r="K254" s="5"/>
      <c r="N254" s="6"/>
      <c r="Y254" s="5"/>
      <c r="Z254" s="6"/>
      <c r="AA254" s="7"/>
      <c r="AN254" s="5"/>
    </row>
    <row r="255" ht="15.75" customHeight="1">
      <c r="A255" s="7"/>
      <c r="B255" s="7"/>
      <c r="C255" s="7"/>
      <c r="F255" s="7"/>
      <c r="G255" s="6"/>
      <c r="K255" s="5"/>
      <c r="N255" s="6"/>
      <c r="Y255" s="5"/>
      <c r="Z255" s="6"/>
      <c r="AA255" s="7"/>
      <c r="AN255" s="5"/>
    </row>
    <row r="256" ht="15.75" customHeight="1">
      <c r="A256" s="7"/>
      <c r="B256" s="7"/>
      <c r="C256" s="7"/>
      <c r="F256" s="7"/>
      <c r="G256" s="6"/>
      <c r="K256" s="5"/>
      <c r="N256" s="6"/>
      <c r="Y256" s="5"/>
      <c r="Z256" s="6"/>
      <c r="AA256" s="7"/>
      <c r="AN256" s="5"/>
    </row>
    <row r="257" ht="15.75" customHeight="1">
      <c r="A257" s="7"/>
      <c r="B257" s="7"/>
      <c r="C257" s="7"/>
      <c r="F257" s="7"/>
      <c r="G257" s="6"/>
      <c r="K257" s="5"/>
      <c r="N257" s="6"/>
      <c r="Y257" s="5"/>
      <c r="Z257" s="6"/>
      <c r="AA257" s="7"/>
      <c r="AN257" s="5"/>
    </row>
    <row r="258" ht="15.75" customHeight="1">
      <c r="A258" s="7"/>
      <c r="B258" s="7"/>
      <c r="C258" s="7"/>
      <c r="F258" s="7"/>
      <c r="G258" s="6"/>
      <c r="K258" s="5"/>
      <c r="N258" s="6"/>
      <c r="Y258" s="5"/>
      <c r="Z258" s="6"/>
      <c r="AA258" s="7"/>
      <c r="AN258" s="5"/>
    </row>
    <row r="259" ht="15.75" customHeight="1">
      <c r="A259" s="7"/>
      <c r="B259" s="7"/>
      <c r="C259" s="7"/>
      <c r="F259" s="7"/>
      <c r="G259" s="6"/>
      <c r="K259" s="5"/>
      <c r="N259" s="6"/>
      <c r="Y259" s="5"/>
      <c r="Z259" s="6"/>
      <c r="AA259" s="7"/>
      <c r="AN259" s="5"/>
    </row>
    <row r="260" ht="15.75" customHeight="1">
      <c r="A260" s="7"/>
      <c r="B260" s="7"/>
      <c r="C260" s="7"/>
      <c r="F260" s="7"/>
      <c r="G260" s="6"/>
      <c r="K260" s="5"/>
      <c r="N260" s="6"/>
      <c r="Y260" s="5"/>
      <c r="Z260" s="6"/>
      <c r="AA260" s="7"/>
      <c r="AN260" s="5"/>
    </row>
    <row r="261" ht="15.75" customHeight="1">
      <c r="A261" s="7"/>
      <c r="B261" s="7"/>
      <c r="C261" s="7"/>
      <c r="F261" s="7"/>
      <c r="G261" s="6"/>
      <c r="K261" s="5"/>
      <c r="N261" s="6"/>
      <c r="Y261" s="5"/>
      <c r="Z261" s="6"/>
      <c r="AA261" s="7"/>
      <c r="AN261" s="5"/>
    </row>
    <row r="262" ht="15.75" customHeight="1">
      <c r="A262" s="7"/>
      <c r="B262" s="7"/>
      <c r="C262" s="7"/>
      <c r="F262" s="7"/>
      <c r="G262" s="6"/>
      <c r="K262" s="5"/>
      <c r="N262" s="6"/>
      <c r="Y262" s="5"/>
      <c r="Z262" s="6"/>
      <c r="AA262" s="7"/>
      <c r="AN262" s="5"/>
    </row>
    <row r="263" ht="15.75" customHeight="1">
      <c r="A263" s="7"/>
      <c r="B263" s="7"/>
      <c r="C263" s="7"/>
      <c r="F263" s="7"/>
      <c r="G263" s="6"/>
      <c r="K263" s="5"/>
      <c r="N263" s="6"/>
      <c r="Y263" s="5"/>
      <c r="Z263" s="6"/>
      <c r="AA263" s="7"/>
      <c r="AN263" s="5"/>
    </row>
    <row r="264" ht="15.75" customHeight="1">
      <c r="A264" s="7"/>
      <c r="B264" s="7"/>
      <c r="C264" s="7"/>
      <c r="F264" s="7"/>
      <c r="G264" s="6"/>
      <c r="K264" s="5"/>
      <c r="N264" s="6"/>
      <c r="Y264" s="5"/>
      <c r="Z264" s="6"/>
      <c r="AA264" s="7"/>
      <c r="AN264" s="5"/>
    </row>
    <row r="265" ht="15.75" customHeight="1">
      <c r="A265" s="7"/>
      <c r="B265" s="7"/>
      <c r="C265" s="7"/>
      <c r="F265" s="7"/>
      <c r="G265" s="6"/>
      <c r="K265" s="5"/>
      <c r="N265" s="6"/>
      <c r="Y265" s="5"/>
      <c r="Z265" s="6"/>
      <c r="AA265" s="7"/>
      <c r="AN265" s="5"/>
    </row>
    <row r="266" ht="15.75" customHeight="1">
      <c r="A266" s="7"/>
      <c r="B266" s="7"/>
      <c r="C266" s="7"/>
      <c r="F266" s="7"/>
      <c r="G266" s="6"/>
      <c r="K266" s="5"/>
      <c r="N266" s="6"/>
      <c r="Y266" s="5"/>
      <c r="Z266" s="6"/>
      <c r="AA266" s="7"/>
      <c r="AN266" s="5"/>
    </row>
    <row r="267" ht="15.75" customHeight="1">
      <c r="A267" s="7"/>
      <c r="B267" s="7"/>
      <c r="C267" s="7"/>
      <c r="F267" s="7"/>
      <c r="G267" s="6"/>
      <c r="K267" s="5"/>
      <c r="N267" s="6"/>
      <c r="Y267" s="5"/>
      <c r="Z267" s="6"/>
      <c r="AA267" s="7"/>
      <c r="AN267" s="5"/>
    </row>
    <row r="268" ht="15.75" customHeight="1">
      <c r="A268" s="7"/>
      <c r="B268" s="7"/>
      <c r="C268" s="7"/>
      <c r="F268" s="7"/>
      <c r="G268" s="6"/>
      <c r="K268" s="5"/>
      <c r="N268" s="6"/>
      <c r="Y268" s="5"/>
      <c r="Z268" s="6"/>
      <c r="AA268" s="7"/>
      <c r="AN268" s="5"/>
    </row>
    <row r="269" ht="15.75" customHeight="1">
      <c r="A269" s="7"/>
      <c r="B269" s="7"/>
      <c r="C269" s="7"/>
      <c r="F269" s="7"/>
      <c r="G269" s="6"/>
      <c r="K269" s="5"/>
      <c r="N269" s="6"/>
      <c r="Y269" s="5"/>
      <c r="Z269" s="6"/>
      <c r="AA269" s="7"/>
      <c r="AN269" s="5"/>
    </row>
    <row r="270" ht="15.75" customHeight="1">
      <c r="A270" s="7"/>
      <c r="B270" s="7"/>
      <c r="C270" s="7"/>
      <c r="F270" s="7"/>
      <c r="G270" s="6"/>
      <c r="K270" s="5"/>
      <c r="N270" s="6"/>
      <c r="Y270" s="5"/>
      <c r="Z270" s="6"/>
      <c r="AA270" s="7"/>
      <c r="AN270" s="5"/>
    </row>
    <row r="271" ht="15.75" customHeight="1">
      <c r="A271" s="7"/>
      <c r="B271" s="7"/>
      <c r="C271" s="7"/>
      <c r="F271" s="7"/>
      <c r="G271" s="6"/>
      <c r="K271" s="5"/>
      <c r="N271" s="6"/>
      <c r="Y271" s="5"/>
      <c r="Z271" s="6"/>
      <c r="AA271" s="7"/>
      <c r="AN271" s="5"/>
    </row>
    <row r="272" ht="15.75" customHeight="1">
      <c r="A272" s="7"/>
      <c r="B272" s="7"/>
      <c r="C272" s="7"/>
      <c r="F272" s="7"/>
      <c r="G272" s="6"/>
      <c r="K272" s="5"/>
      <c r="N272" s="6"/>
      <c r="Y272" s="5"/>
      <c r="Z272" s="6"/>
      <c r="AA272" s="7"/>
      <c r="AN272" s="5"/>
    </row>
    <row r="273" ht="15.75" customHeight="1">
      <c r="A273" s="7"/>
      <c r="B273" s="7"/>
      <c r="C273" s="7"/>
      <c r="F273" s="7"/>
      <c r="G273" s="6"/>
      <c r="K273" s="5"/>
      <c r="N273" s="6"/>
      <c r="Y273" s="5"/>
      <c r="Z273" s="6"/>
      <c r="AA273" s="7"/>
      <c r="AN273" s="5"/>
    </row>
    <row r="274" ht="15.75" customHeight="1">
      <c r="A274" s="7"/>
      <c r="B274" s="7"/>
      <c r="C274" s="7"/>
      <c r="F274" s="7"/>
      <c r="G274" s="6"/>
      <c r="K274" s="5"/>
      <c r="N274" s="6"/>
      <c r="Y274" s="5"/>
      <c r="Z274" s="6"/>
      <c r="AA274" s="7"/>
      <c r="AN274" s="5"/>
    </row>
    <row r="275" ht="15.75" customHeight="1">
      <c r="A275" s="7"/>
      <c r="B275" s="7"/>
      <c r="C275" s="7"/>
      <c r="F275" s="7"/>
      <c r="G275" s="6"/>
      <c r="K275" s="5"/>
      <c r="N275" s="6"/>
      <c r="Y275" s="5"/>
      <c r="Z275" s="6"/>
      <c r="AA275" s="7"/>
      <c r="AN275" s="5"/>
    </row>
    <row r="276" ht="15.75" customHeight="1">
      <c r="A276" s="7"/>
      <c r="B276" s="7"/>
      <c r="C276" s="7"/>
      <c r="F276" s="7"/>
      <c r="G276" s="6"/>
      <c r="K276" s="5"/>
      <c r="N276" s="6"/>
      <c r="Y276" s="5"/>
      <c r="Z276" s="6"/>
      <c r="AA276" s="7"/>
      <c r="AN276" s="5"/>
    </row>
    <row r="277" ht="15.75" customHeight="1">
      <c r="A277" s="7"/>
      <c r="B277" s="7"/>
      <c r="C277" s="7"/>
      <c r="F277" s="7"/>
      <c r="G277" s="6"/>
      <c r="K277" s="5"/>
      <c r="N277" s="6"/>
      <c r="Y277" s="5"/>
      <c r="Z277" s="6"/>
      <c r="AA277" s="7"/>
      <c r="AN277" s="5"/>
    </row>
    <row r="278" ht="15.75" customHeight="1">
      <c r="A278" s="7"/>
      <c r="B278" s="7"/>
      <c r="C278" s="7"/>
      <c r="F278" s="7"/>
      <c r="G278" s="6"/>
      <c r="K278" s="5"/>
      <c r="N278" s="6"/>
      <c r="Y278" s="5"/>
      <c r="Z278" s="6"/>
      <c r="AA278" s="7"/>
      <c r="AN278" s="5"/>
    </row>
    <row r="279" ht="15.75" customHeight="1">
      <c r="A279" s="7"/>
      <c r="B279" s="7"/>
      <c r="C279" s="7"/>
      <c r="F279" s="7"/>
      <c r="G279" s="6"/>
      <c r="K279" s="5"/>
      <c r="N279" s="6"/>
      <c r="Y279" s="5"/>
      <c r="Z279" s="6"/>
      <c r="AA279" s="7"/>
      <c r="AN279" s="5"/>
    </row>
    <row r="280" ht="15.75" customHeight="1">
      <c r="A280" s="7"/>
      <c r="B280" s="7"/>
      <c r="C280" s="7"/>
      <c r="F280" s="7"/>
      <c r="G280" s="6"/>
      <c r="K280" s="5"/>
      <c r="N280" s="6"/>
      <c r="Y280" s="5"/>
      <c r="Z280" s="6"/>
      <c r="AA280" s="7"/>
      <c r="AN280" s="5"/>
    </row>
    <row r="281" ht="15.75" customHeight="1">
      <c r="A281" s="7"/>
      <c r="B281" s="7"/>
      <c r="C281" s="7"/>
      <c r="F281" s="7"/>
      <c r="G281" s="6"/>
      <c r="K281" s="5"/>
      <c r="N281" s="6"/>
      <c r="Y281" s="5"/>
      <c r="Z281" s="6"/>
      <c r="AA281" s="7"/>
      <c r="AN281" s="5"/>
    </row>
    <row r="282" ht="15.75" customHeight="1">
      <c r="A282" s="7"/>
      <c r="B282" s="7"/>
      <c r="C282" s="7"/>
      <c r="F282" s="7"/>
      <c r="G282" s="6"/>
      <c r="K282" s="5"/>
      <c r="N282" s="6"/>
      <c r="Y282" s="5"/>
      <c r="Z282" s="6"/>
      <c r="AA282" s="7"/>
      <c r="AN282" s="5"/>
    </row>
    <row r="283" ht="15.75" customHeight="1">
      <c r="A283" s="7"/>
      <c r="B283" s="7"/>
      <c r="C283" s="7"/>
      <c r="F283" s="7"/>
      <c r="G283" s="6"/>
      <c r="K283" s="5"/>
      <c r="N283" s="6"/>
      <c r="Y283" s="5"/>
      <c r="Z283" s="6"/>
      <c r="AA283" s="7"/>
      <c r="AN283" s="5"/>
    </row>
    <row r="284" ht="15.75" customHeight="1">
      <c r="A284" s="7"/>
      <c r="B284" s="7"/>
      <c r="C284" s="7"/>
      <c r="F284" s="7"/>
      <c r="G284" s="6"/>
      <c r="K284" s="5"/>
      <c r="N284" s="6"/>
      <c r="Y284" s="5"/>
      <c r="Z284" s="6"/>
      <c r="AA284" s="7"/>
      <c r="AN284" s="5"/>
    </row>
    <row r="285" ht="15.75" customHeight="1">
      <c r="A285" s="7"/>
      <c r="B285" s="7"/>
      <c r="C285" s="7"/>
      <c r="F285" s="7"/>
      <c r="G285" s="6"/>
      <c r="K285" s="5"/>
      <c r="N285" s="6"/>
      <c r="Y285" s="5"/>
      <c r="Z285" s="6"/>
      <c r="AA285" s="7"/>
      <c r="AN285" s="5"/>
    </row>
    <row r="286" ht="15.75" customHeight="1">
      <c r="A286" s="7"/>
      <c r="B286" s="7"/>
      <c r="C286" s="7"/>
      <c r="F286" s="7"/>
      <c r="G286" s="6"/>
      <c r="K286" s="5"/>
      <c r="N286" s="6"/>
      <c r="Y286" s="5"/>
      <c r="Z286" s="6"/>
      <c r="AA286" s="7"/>
      <c r="AN286" s="5"/>
    </row>
    <row r="287" ht="15.75" customHeight="1">
      <c r="A287" s="7"/>
      <c r="B287" s="7"/>
      <c r="C287" s="7"/>
      <c r="F287" s="7"/>
      <c r="G287" s="6"/>
      <c r="K287" s="5"/>
      <c r="N287" s="6"/>
      <c r="Y287" s="5"/>
      <c r="Z287" s="6"/>
      <c r="AA287" s="7"/>
      <c r="AN287" s="5"/>
    </row>
    <row r="288" ht="15.75" customHeight="1">
      <c r="A288" s="7"/>
      <c r="B288" s="7"/>
      <c r="C288" s="7"/>
      <c r="F288" s="7"/>
      <c r="G288" s="6"/>
      <c r="K288" s="5"/>
      <c r="N288" s="6"/>
      <c r="Y288" s="5"/>
      <c r="Z288" s="6"/>
      <c r="AA288" s="7"/>
      <c r="AN288" s="5"/>
    </row>
    <row r="289" ht="15.75" customHeight="1">
      <c r="A289" s="7"/>
      <c r="B289" s="7"/>
      <c r="C289" s="7"/>
      <c r="F289" s="7"/>
      <c r="G289" s="6"/>
      <c r="K289" s="5"/>
      <c r="N289" s="6"/>
      <c r="Y289" s="5"/>
      <c r="Z289" s="6"/>
      <c r="AA289" s="7"/>
      <c r="AN289" s="5"/>
    </row>
    <row r="290" ht="15.75" customHeight="1">
      <c r="A290" s="7"/>
      <c r="B290" s="7"/>
      <c r="C290" s="7"/>
      <c r="F290" s="7"/>
      <c r="G290" s="6"/>
      <c r="K290" s="5"/>
      <c r="N290" s="6"/>
      <c r="Y290" s="5"/>
      <c r="Z290" s="6"/>
      <c r="AA290" s="7"/>
      <c r="AN290" s="5"/>
    </row>
    <row r="291" ht="15.75" customHeight="1">
      <c r="A291" s="7"/>
      <c r="B291" s="7"/>
      <c r="C291" s="7"/>
      <c r="F291" s="7"/>
      <c r="G291" s="6"/>
      <c r="K291" s="5"/>
      <c r="N291" s="6"/>
      <c r="Y291" s="5"/>
      <c r="Z291" s="6"/>
      <c r="AA291" s="7"/>
      <c r="AN291" s="5"/>
    </row>
    <row r="292" ht="15.75" customHeight="1">
      <c r="A292" s="7"/>
      <c r="B292" s="7"/>
      <c r="C292" s="7"/>
      <c r="F292" s="7"/>
      <c r="G292" s="6"/>
      <c r="K292" s="5"/>
      <c r="N292" s="6"/>
      <c r="Y292" s="5"/>
      <c r="Z292" s="6"/>
      <c r="AA292" s="7"/>
      <c r="AN292" s="5"/>
    </row>
    <row r="293" ht="15.75" customHeight="1">
      <c r="A293" s="7"/>
      <c r="B293" s="7"/>
      <c r="C293" s="7"/>
      <c r="F293" s="7"/>
      <c r="G293" s="6"/>
      <c r="K293" s="5"/>
      <c r="N293" s="6"/>
      <c r="Y293" s="5"/>
      <c r="Z293" s="6"/>
      <c r="AA293" s="7"/>
      <c r="AN293" s="5"/>
    </row>
    <row r="294" ht="15.75" customHeight="1">
      <c r="A294" s="7"/>
      <c r="B294" s="7"/>
      <c r="C294" s="7"/>
      <c r="F294" s="7"/>
      <c r="G294" s="6"/>
      <c r="K294" s="5"/>
      <c r="N294" s="6"/>
      <c r="Y294" s="5"/>
      <c r="Z294" s="6"/>
      <c r="AA294" s="7"/>
      <c r="AN294" s="5"/>
    </row>
    <row r="295" ht="15.75" customHeight="1">
      <c r="A295" s="7"/>
      <c r="B295" s="7"/>
      <c r="C295" s="7"/>
      <c r="F295" s="7"/>
      <c r="G295" s="6"/>
      <c r="K295" s="5"/>
      <c r="N295" s="6"/>
      <c r="Y295" s="5"/>
      <c r="Z295" s="6"/>
      <c r="AA295" s="7"/>
      <c r="AN295" s="5"/>
    </row>
    <row r="296" ht="15.75" customHeight="1">
      <c r="A296" s="7"/>
      <c r="B296" s="7"/>
      <c r="C296" s="7"/>
      <c r="F296" s="7"/>
      <c r="G296" s="6"/>
      <c r="K296" s="5"/>
      <c r="N296" s="6"/>
      <c r="Y296" s="5"/>
      <c r="Z296" s="6"/>
      <c r="AA296" s="7"/>
      <c r="AN296" s="5"/>
    </row>
    <row r="297" ht="15.75" customHeight="1">
      <c r="A297" s="7"/>
      <c r="B297" s="7"/>
      <c r="C297" s="7"/>
      <c r="F297" s="7"/>
      <c r="G297" s="6"/>
      <c r="K297" s="5"/>
      <c r="N297" s="6"/>
      <c r="Y297" s="5"/>
      <c r="Z297" s="6"/>
      <c r="AA297" s="7"/>
      <c r="AN297" s="5"/>
    </row>
    <row r="298" ht="15.75" customHeight="1">
      <c r="A298" s="7"/>
      <c r="B298" s="7"/>
      <c r="C298" s="7"/>
      <c r="F298" s="7"/>
      <c r="G298" s="6"/>
      <c r="K298" s="5"/>
      <c r="N298" s="6"/>
      <c r="Y298" s="5"/>
      <c r="Z298" s="6"/>
      <c r="AA298" s="7"/>
      <c r="AN298" s="5"/>
    </row>
    <row r="299" ht="15.75" customHeight="1">
      <c r="A299" s="7"/>
      <c r="B299" s="7"/>
      <c r="C299" s="7"/>
      <c r="F299" s="7"/>
      <c r="G299" s="6"/>
      <c r="K299" s="5"/>
      <c r="N299" s="6"/>
      <c r="Y299" s="5"/>
      <c r="Z299" s="6"/>
      <c r="AA299" s="7"/>
      <c r="AN299" s="5"/>
    </row>
    <row r="300" ht="15.75" customHeight="1">
      <c r="A300" s="7"/>
      <c r="B300" s="7"/>
      <c r="C300" s="7"/>
      <c r="F300" s="7"/>
      <c r="G300" s="6"/>
      <c r="K300" s="5"/>
      <c r="N300" s="6"/>
      <c r="Y300" s="5"/>
      <c r="Z300" s="6"/>
      <c r="AA300" s="7"/>
      <c r="AN300" s="5"/>
    </row>
    <row r="301" ht="15.75" customHeight="1">
      <c r="A301" s="7"/>
      <c r="B301" s="7"/>
      <c r="C301" s="7"/>
      <c r="F301" s="7"/>
      <c r="G301" s="6"/>
      <c r="K301" s="5"/>
      <c r="N301" s="6"/>
      <c r="Y301" s="5"/>
      <c r="Z301" s="6"/>
      <c r="AA301" s="7"/>
      <c r="AN301" s="5"/>
    </row>
    <row r="302" ht="15.75" customHeight="1">
      <c r="A302" s="7"/>
      <c r="B302" s="7"/>
      <c r="C302" s="7"/>
      <c r="F302" s="7"/>
      <c r="G302" s="6"/>
      <c r="K302" s="5"/>
      <c r="N302" s="6"/>
      <c r="Y302" s="5"/>
      <c r="Z302" s="6"/>
      <c r="AA302" s="7"/>
      <c r="AN302" s="5"/>
    </row>
    <row r="303" ht="15.75" customHeight="1">
      <c r="A303" s="7"/>
      <c r="B303" s="7"/>
      <c r="C303" s="7"/>
      <c r="F303" s="7"/>
      <c r="G303" s="6"/>
      <c r="K303" s="5"/>
      <c r="N303" s="6"/>
      <c r="Y303" s="5"/>
      <c r="Z303" s="6"/>
      <c r="AA303" s="7"/>
      <c r="AN303" s="5"/>
    </row>
    <row r="304" ht="15.75" customHeight="1">
      <c r="A304" s="7"/>
      <c r="B304" s="7"/>
      <c r="C304" s="7"/>
      <c r="F304" s="7"/>
      <c r="G304" s="6"/>
      <c r="K304" s="5"/>
      <c r="N304" s="6"/>
      <c r="Y304" s="5"/>
      <c r="Z304" s="6"/>
      <c r="AA304" s="7"/>
      <c r="AN304" s="5"/>
    </row>
    <row r="305" ht="15.75" customHeight="1">
      <c r="A305" s="7"/>
      <c r="B305" s="7"/>
      <c r="C305" s="7"/>
      <c r="F305" s="7"/>
      <c r="G305" s="6"/>
      <c r="K305" s="5"/>
      <c r="N305" s="6"/>
      <c r="Y305" s="5"/>
      <c r="Z305" s="6"/>
      <c r="AA305" s="7"/>
      <c r="AN305" s="5"/>
    </row>
    <row r="306" ht="15.75" customHeight="1">
      <c r="A306" s="7"/>
      <c r="B306" s="7"/>
      <c r="C306" s="7"/>
      <c r="F306" s="7"/>
      <c r="G306" s="6"/>
      <c r="K306" s="5"/>
      <c r="N306" s="6"/>
      <c r="Y306" s="5"/>
      <c r="Z306" s="6"/>
      <c r="AA306" s="7"/>
      <c r="AN306" s="5"/>
    </row>
    <row r="307" ht="15.75" customHeight="1">
      <c r="A307" s="7"/>
      <c r="B307" s="7"/>
      <c r="C307" s="7"/>
      <c r="F307" s="7"/>
      <c r="G307" s="6"/>
      <c r="K307" s="5"/>
      <c r="N307" s="6"/>
      <c r="Y307" s="5"/>
      <c r="Z307" s="6"/>
      <c r="AA307" s="7"/>
      <c r="AN307" s="5"/>
    </row>
    <row r="308" ht="15.75" customHeight="1">
      <c r="A308" s="7"/>
      <c r="B308" s="7"/>
      <c r="C308" s="7"/>
      <c r="F308" s="7"/>
      <c r="G308" s="6"/>
      <c r="K308" s="5"/>
      <c r="N308" s="6"/>
      <c r="Y308" s="5"/>
      <c r="Z308" s="6"/>
      <c r="AA308" s="7"/>
      <c r="AN308" s="5"/>
    </row>
    <row r="309" ht="15.75" customHeight="1">
      <c r="A309" s="7"/>
      <c r="B309" s="7"/>
      <c r="C309" s="7"/>
      <c r="F309" s="7"/>
      <c r="G309" s="6"/>
      <c r="K309" s="5"/>
      <c r="N309" s="6"/>
      <c r="Y309" s="5"/>
      <c r="Z309" s="6"/>
      <c r="AA309" s="7"/>
      <c r="AN309" s="5"/>
    </row>
    <row r="310" ht="15.75" customHeight="1">
      <c r="A310" s="7"/>
      <c r="B310" s="7"/>
      <c r="C310" s="7"/>
      <c r="F310" s="7"/>
      <c r="G310" s="6"/>
      <c r="K310" s="5"/>
      <c r="N310" s="6"/>
      <c r="Y310" s="5"/>
      <c r="Z310" s="6"/>
      <c r="AA310" s="7"/>
      <c r="AN310" s="5"/>
    </row>
    <row r="311" ht="15.75" customHeight="1">
      <c r="A311" s="7"/>
      <c r="B311" s="7"/>
      <c r="C311" s="7"/>
      <c r="F311" s="7"/>
      <c r="G311" s="6"/>
      <c r="K311" s="5"/>
      <c r="N311" s="6"/>
      <c r="Y311" s="5"/>
      <c r="Z311" s="6"/>
      <c r="AA311" s="7"/>
      <c r="AN311" s="5"/>
    </row>
    <row r="312" ht="15.75" customHeight="1">
      <c r="A312" s="7"/>
      <c r="B312" s="7"/>
      <c r="C312" s="7"/>
      <c r="F312" s="7"/>
      <c r="G312" s="6"/>
      <c r="K312" s="5"/>
      <c r="N312" s="6"/>
      <c r="Y312" s="5"/>
      <c r="Z312" s="6"/>
      <c r="AA312" s="7"/>
      <c r="AN312" s="5"/>
    </row>
    <row r="313" ht="15.75" customHeight="1">
      <c r="A313" s="7"/>
      <c r="B313" s="7"/>
      <c r="C313" s="7"/>
      <c r="F313" s="7"/>
      <c r="G313" s="6"/>
      <c r="K313" s="5"/>
      <c r="N313" s="6"/>
      <c r="Y313" s="5"/>
      <c r="Z313" s="6"/>
      <c r="AA313" s="7"/>
      <c r="AN313" s="5"/>
    </row>
    <row r="314" ht="15.75" customHeight="1">
      <c r="A314" s="7"/>
      <c r="B314" s="7"/>
      <c r="C314" s="7"/>
      <c r="F314" s="7"/>
      <c r="G314" s="6"/>
      <c r="K314" s="5"/>
      <c r="N314" s="6"/>
      <c r="Y314" s="5"/>
      <c r="Z314" s="6"/>
      <c r="AA314" s="7"/>
      <c r="AN314" s="5"/>
    </row>
    <row r="315" ht="15.75" customHeight="1">
      <c r="A315" s="7"/>
      <c r="B315" s="7"/>
      <c r="C315" s="7"/>
      <c r="F315" s="7"/>
      <c r="G315" s="6"/>
      <c r="K315" s="5"/>
      <c r="N315" s="6"/>
      <c r="Y315" s="5"/>
      <c r="Z315" s="6"/>
      <c r="AA315" s="7"/>
      <c r="AN315" s="5"/>
    </row>
    <row r="316" ht="15.75" customHeight="1">
      <c r="A316" s="7"/>
      <c r="B316" s="7"/>
      <c r="C316" s="7"/>
      <c r="F316" s="7"/>
      <c r="G316" s="6"/>
      <c r="K316" s="5"/>
      <c r="N316" s="6"/>
      <c r="Y316" s="5"/>
      <c r="Z316" s="6"/>
      <c r="AA316" s="7"/>
      <c r="AN316" s="5"/>
    </row>
    <row r="317" ht="15.75" customHeight="1">
      <c r="A317" s="7"/>
      <c r="B317" s="7"/>
      <c r="C317" s="7"/>
      <c r="F317" s="7"/>
      <c r="G317" s="6"/>
      <c r="K317" s="5"/>
      <c r="N317" s="6"/>
      <c r="Y317" s="5"/>
      <c r="Z317" s="6"/>
      <c r="AA317" s="7"/>
      <c r="AN317" s="5"/>
    </row>
    <row r="318" ht="15.75" customHeight="1">
      <c r="A318" s="7"/>
      <c r="B318" s="7"/>
      <c r="C318" s="7"/>
      <c r="F318" s="7"/>
      <c r="G318" s="6"/>
      <c r="K318" s="5"/>
      <c r="N318" s="6"/>
      <c r="Y318" s="5"/>
      <c r="Z318" s="6"/>
      <c r="AA318" s="7"/>
      <c r="AN318" s="5"/>
    </row>
    <row r="319" ht="15.75" customHeight="1">
      <c r="A319" s="7"/>
      <c r="B319" s="7"/>
      <c r="C319" s="7"/>
      <c r="F319" s="7"/>
      <c r="G319" s="6"/>
      <c r="K319" s="5"/>
      <c r="N319" s="6"/>
      <c r="Y319" s="5"/>
      <c r="Z319" s="6"/>
      <c r="AA319" s="7"/>
      <c r="AN319" s="5"/>
    </row>
    <row r="320" ht="15.75" customHeight="1">
      <c r="A320" s="7"/>
      <c r="B320" s="7"/>
      <c r="C320" s="7"/>
      <c r="F320" s="7"/>
      <c r="G320" s="6"/>
      <c r="K320" s="5"/>
      <c r="N320" s="6"/>
      <c r="Y320" s="5"/>
      <c r="Z320" s="6"/>
      <c r="AA320" s="7"/>
      <c r="AN320" s="5"/>
    </row>
    <row r="321" ht="15.75" customHeight="1">
      <c r="A321" s="7"/>
      <c r="B321" s="7"/>
      <c r="C321" s="7"/>
      <c r="F321" s="7"/>
      <c r="G321" s="6"/>
      <c r="K321" s="5"/>
      <c r="N321" s="6"/>
      <c r="Y321" s="5"/>
      <c r="Z321" s="6"/>
      <c r="AA321" s="7"/>
      <c r="AN321" s="5"/>
    </row>
    <row r="322" ht="15.75" customHeight="1">
      <c r="A322" s="7"/>
      <c r="B322" s="7"/>
      <c r="C322" s="7"/>
      <c r="F322" s="7"/>
      <c r="G322" s="6"/>
      <c r="K322" s="5"/>
      <c r="N322" s="6"/>
      <c r="Y322" s="5"/>
      <c r="Z322" s="6"/>
      <c r="AA322" s="7"/>
      <c r="AN322" s="5"/>
    </row>
    <row r="323" ht="15.75" customHeight="1">
      <c r="A323" s="7"/>
      <c r="B323" s="7"/>
      <c r="C323" s="7"/>
      <c r="F323" s="7"/>
      <c r="G323" s="6"/>
      <c r="K323" s="5"/>
      <c r="N323" s="6"/>
      <c r="Y323" s="5"/>
      <c r="Z323" s="6"/>
      <c r="AA323" s="7"/>
      <c r="AN323" s="5"/>
    </row>
    <row r="324" ht="15.75" customHeight="1">
      <c r="A324" s="7"/>
      <c r="B324" s="7"/>
      <c r="C324" s="7"/>
      <c r="F324" s="7"/>
      <c r="G324" s="6"/>
      <c r="K324" s="5"/>
      <c r="N324" s="6"/>
      <c r="Y324" s="5"/>
      <c r="Z324" s="6"/>
      <c r="AA324" s="7"/>
      <c r="AN324" s="5"/>
    </row>
    <row r="325" ht="15.75" customHeight="1">
      <c r="A325" s="7"/>
      <c r="B325" s="7"/>
      <c r="C325" s="7"/>
      <c r="F325" s="7"/>
      <c r="G325" s="6"/>
      <c r="K325" s="5"/>
      <c r="N325" s="6"/>
      <c r="Y325" s="5"/>
      <c r="Z325" s="6"/>
      <c r="AA325" s="7"/>
      <c r="AN325" s="5"/>
    </row>
    <row r="326" ht="15.75" customHeight="1">
      <c r="A326" s="7"/>
      <c r="B326" s="7"/>
      <c r="C326" s="7"/>
      <c r="F326" s="7"/>
      <c r="G326" s="6"/>
      <c r="K326" s="5"/>
      <c r="N326" s="6"/>
      <c r="Y326" s="5"/>
      <c r="Z326" s="6"/>
      <c r="AA326" s="7"/>
      <c r="AN326" s="5"/>
    </row>
    <row r="327" ht="15.75" customHeight="1">
      <c r="A327" s="7"/>
      <c r="B327" s="7"/>
      <c r="C327" s="7"/>
      <c r="F327" s="7"/>
      <c r="G327" s="6"/>
      <c r="K327" s="5"/>
      <c r="N327" s="6"/>
      <c r="Y327" s="5"/>
      <c r="Z327" s="6"/>
      <c r="AA327" s="7"/>
      <c r="AN327" s="5"/>
    </row>
    <row r="328" ht="15.75" customHeight="1">
      <c r="A328" s="7"/>
      <c r="B328" s="7"/>
      <c r="C328" s="7"/>
      <c r="F328" s="7"/>
      <c r="G328" s="6"/>
      <c r="K328" s="5"/>
      <c r="N328" s="6"/>
      <c r="Y328" s="5"/>
      <c r="Z328" s="6"/>
      <c r="AA328" s="7"/>
      <c r="AN328" s="5"/>
    </row>
    <row r="329" ht="15.75" customHeight="1">
      <c r="A329" s="7"/>
      <c r="B329" s="7"/>
      <c r="C329" s="7"/>
      <c r="F329" s="7"/>
      <c r="G329" s="6"/>
      <c r="K329" s="5"/>
      <c r="N329" s="6"/>
      <c r="Y329" s="5"/>
      <c r="Z329" s="6"/>
      <c r="AA329" s="7"/>
      <c r="AN329" s="5"/>
    </row>
    <row r="330" ht="15.75" customHeight="1">
      <c r="A330" s="7"/>
      <c r="B330" s="7"/>
      <c r="C330" s="7"/>
      <c r="F330" s="7"/>
      <c r="G330" s="6"/>
      <c r="K330" s="5"/>
      <c r="N330" s="6"/>
      <c r="Y330" s="5"/>
      <c r="Z330" s="6"/>
      <c r="AA330" s="7"/>
      <c r="AN330" s="5"/>
    </row>
    <row r="331" ht="15.75" customHeight="1">
      <c r="A331" s="7"/>
      <c r="B331" s="7"/>
      <c r="C331" s="7"/>
      <c r="F331" s="7"/>
      <c r="G331" s="6"/>
      <c r="K331" s="5"/>
      <c r="N331" s="6"/>
      <c r="Y331" s="5"/>
      <c r="Z331" s="6"/>
      <c r="AA331" s="7"/>
      <c r="AN331" s="5"/>
    </row>
    <row r="332" ht="15.75" customHeight="1">
      <c r="A332" s="7"/>
      <c r="B332" s="7"/>
      <c r="C332" s="7"/>
      <c r="F332" s="7"/>
      <c r="G332" s="6"/>
      <c r="K332" s="5"/>
      <c r="N332" s="6"/>
      <c r="Y332" s="5"/>
      <c r="Z332" s="6"/>
      <c r="AA332" s="7"/>
      <c r="AN332" s="5"/>
    </row>
    <row r="333" ht="15.75" customHeight="1">
      <c r="A333" s="7"/>
      <c r="B333" s="7"/>
      <c r="C333" s="7"/>
      <c r="F333" s="7"/>
      <c r="G333" s="6"/>
      <c r="K333" s="5"/>
      <c r="N333" s="6"/>
      <c r="Y333" s="5"/>
      <c r="Z333" s="6"/>
      <c r="AA333" s="7"/>
      <c r="AN333" s="5"/>
    </row>
    <row r="334" ht="15.75" customHeight="1">
      <c r="A334" s="7"/>
      <c r="B334" s="7"/>
      <c r="C334" s="7"/>
      <c r="F334" s="7"/>
      <c r="G334" s="6"/>
      <c r="K334" s="5"/>
      <c r="N334" s="6"/>
      <c r="Y334" s="5"/>
      <c r="Z334" s="6"/>
      <c r="AA334" s="7"/>
      <c r="AN334" s="5"/>
    </row>
    <row r="335" ht="15.75" customHeight="1">
      <c r="A335" s="7"/>
      <c r="B335" s="7"/>
      <c r="C335" s="7"/>
      <c r="F335" s="7"/>
      <c r="G335" s="6"/>
      <c r="K335" s="5"/>
      <c r="N335" s="6"/>
      <c r="Y335" s="5"/>
      <c r="Z335" s="6"/>
      <c r="AA335" s="7"/>
      <c r="AN335" s="5"/>
    </row>
    <row r="336" ht="15.75" customHeight="1">
      <c r="A336" s="7"/>
      <c r="B336" s="7"/>
      <c r="C336" s="7"/>
      <c r="F336" s="7"/>
      <c r="G336" s="6"/>
      <c r="K336" s="5"/>
      <c r="N336" s="6"/>
      <c r="Y336" s="5"/>
      <c r="Z336" s="6"/>
      <c r="AA336" s="7"/>
      <c r="AN336" s="5"/>
    </row>
    <row r="337" ht="15.75" customHeight="1">
      <c r="A337" s="7"/>
      <c r="B337" s="7"/>
      <c r="C337" s="7"/>
      <c r="F337" s="7"/>
      <c r="G337" s="6"/>
      <c r="K337" s="5"/>
      <c r="N337" s="6"/>
      <c r="Y337" s="5"/>
      <c r="Z337" s="6"/>
      <c r="AA337" s="7"/>
      <c r="AN337" s="5"/>
    </row>
    <row r="338" ht="15.75" customHeight="1">
      <c r="A338" s="7"/>
      <c r="B338" s="7"/>
      <c r="C338" s="7"/>
      <c r="F338" s="7"/>
      <c r="G338" s="6"/>
      <c r="K338" s="5"/>
      <c r="N338" s="6"/>
      <c r="Y338" s="5"/>
      <c r="Z338" s="6"/>
      <c r="AA338" s="7"/>
      <c r="AN338" s="5"/>
    </row>
    <row r="339" ht="15.75" customHeight="1">
      <c r="A339" s="7"/>
      <c r="B339" s="7"/>
      <c r="C339" s="7"/>
      <c r="F339" s="7"/>
      <c r="G339" s="6"/>
      <c r="K339" s="5"/>
      <c r="N339" s="6"/>
      <c r="Y339" s="5"/>
      <c r="Z339" s="6"/>
      <c r="AA339" s="7"/>
      <c r="AN339" s="5"/>
    </row>
    <row r="340" ht="15.75" customHeight="1">
      <c r="A340" s="7"/>
      <c r="B340" s="7"/>
      <c r="C340" s="7"/>
      <c r="F340" s="7"/>
      <c r="G340" s="6"/>
      <c r="K340" s="5"/>
      <c r="N340" s="6"/>
      <c r="Y340" s="5"/>
      <c r="Z340" s="6"/>
      <c r="AA340" s="7"/>
      <c r="AN340" s="5"/>
    </row>
    <row r="341" ht="15.75" customHeight="1">
      <c r="A341" s="7"/>
      <c r="B341" s="7"/>
      <c r="C341" s="7"/>
      <c r="F341" s="7"/>
      <c r="G341" s="6"/>
      <c r="K341" s="5"/>
      <c r="N341" s="6"/>
      <c r="Y341" s="5"/>
      <c r="Z341" s="6"/>
      <c r="AA341" s="7"/>
      <c r="AN341" s="5"/>
    </row>
    <row r="342" ht="15.75" customHeight="1">
      <c r="A342" s="7"/>
      <c r="B342" s="7"/>
      <c r="C342" s="7"/>
      <c r="F342" s="7"/>
      <c r="G342" s="6"/>
      <c r="K342" s="5"/>
      <c r="N342" s="6"/>
      <c r="Y342" s="5"/>
      <c r="Z342" s="6"/>
      <c r="AA342" s="7"/>
      <c r="AN342" s="5"/>
    </row>
    <row r="343" ht="15.75" customHeight="1">
      <c r="A343" s="7"/>
      <c r="B343" s="7"/>
      <c r="C343" s="7"/>
      <c r="F343" s="7"/>
      <c r="G343" s="6"/>
      <c r="K343" s="5"/>
      <c r="N343" s="6"/>
      <c r="Y343" s="5"/>
      <c r="Z343" s="6"/>
      <c r="AA343" s="7"/>
      <c r="AN343" s="5"/>
    </row>
    <row r="344" ht="15.75" customHeight="1">
      <c r="A344" s="7"/>
      <c r="B344" s="7"/>
      <c r="C344" s="7"/>
      <c r="F344" s="7"/>
      <c r="G344" s="6"/>
      <c r="K344" s="5"/>
      <c r="N344" s="6"/>
      <c r="Y344" s="5"/>
      <c r="Z344" s="6"/>
      <c r="AA344" s="7"/>
      <c r="AN344" s="5"/>
    </row>
    <row r="345" ht="15.75" customHeight="1">
      <c r="A345" s="7"/>
      <c r="B345" s="7"/>
      <c r="C345" s="7"/>
      <c r="F345" s="7"/>
      <c r="G345" s="6"/>
      <c r="K345" s="5"/>
      <c r="N345" s="6"/>
      <c r="Y345" s="5"/>
      <c r="Z345" s="6"/>
      <c r="AA345" s="7"/>
      <c r="AN345" s="5"/>
    </row>
    <row r="346" ht="15.75" customHeight="1">
      <c r="A346" s="7"/>
      <c r="B346" s="7"/>
      <c r="C346" s="7"/>
      <c r="F346" s="7"/>
      <c r="G346" s="6"/>
      <c r="K346" s="5"/>
      <c r="N346" s="6"/>
      <c r="Y346" s="5"/>
      <c r="Z346" s="6"/>
      <c r="AA346" s="7"/>
      <c r="AN346" s="5"/>
    </row>
    <row r="347" ht="15.75" customHeight="1">
      <c r="A347" s="7"/>
      <c r="B347" s="7"/>
      <c r="C347" s="7"/>
      <c r="F347" s="7"/>
      <c r="G347" s="6"/>
      <c r="K347" s="5"/>
      <c r="N347" s="6"/>
      <c r="Y347" s="5"/>
      <c r="Z347" s="6"/>
      <c r="AA347" s="7"/>
      <c r="AN347" s="5"/>
    </row>
    <row r="348" ht="15.75" customHeight="1">
      <c r="A348" s="7"/>
      <c r="B348" s="7"/>
      <c r="C348" s="7"/>
      <c r="F348" s="7"/>
      <c r="G348" s="6"/>
      <c r="K348" s="5"/>
      <c r="N348" s="6"/>
      <c r="Y348" s="5"/>
      <c r="Z348" s="6"/>
      <c r="AA348" s="7"/>
      <c r="AN348" s="5"/>
    </row>
    <row r="349" ht="15.75" customHeight="1">
      <c r="A349" s="7"/>
      <c r="B349" s="7"/>
      <c r="C349" s="7"/>
      <c r="F349" s="7"/>
      <c r="G349" s="6"/>
      <c r="K349" s="5"/>
      <c r="N349" s="6"/>
      <c r="Y349" s="5"/>
      <c r="Z349" s="6"/>
      <c r="AA349" s="7"/>
      <c r="AN349" s="5"/>
    </row>
    <row r="350" ht="15.75" customHeight="1">
      <c r="A350" s="7"/>
      <c r="B350" s="7"/>
      <c r="C350" s="7"/>
      <c r="F350" s="7"/>
      <c r="G350" s="6"/>
      <c r="K350" s="5"/>
      <c r="N350" s="6"/>
      <c r="Y350" s="5"/>
      <c r="Z350" s="6"/>
      <c r="AA350" s="7"/>
      <c r="AN350" s="5"/>
    </row>
    <row r="351" ht="15.75" customHeight="1">
      <c r="A351" s="7"/>
      <c r="B351" s="7"/>
      <c r="C351" s="7"/>
      <c r="F351" s="7"/>
      <c r="G351" s="6"/>
      <c r="K351" s="5"/>
      <c r="N351" s="6"/>
      <c r="Y351" s="5"/>
      <c r="Z351" s="6"/>
      <c r="AA351" s="7"/>
      <c r="AN351" s="5"/>
    </row>
    <row r="352" ht="15.75" customHeight="1">
      <c r="A352" s="7"/>
      <c r="B352" s="7"/>
      <c r="C352" s="7"/>
      <c r="F352" s="7"/>
      <c r="G352" s="6"/>
      <c r="K352" s="5"/>
      <c r="N352" s="6"/>
      <c r="Y352" s="5"/>
      <c r="Z352" s="6"/>
      <c r="AA352" s="7"/>
      <c r="AN352" s="5"/>
    </row>
    <row r="353" ht="15.75" customHeight="1">
      <c r="A353" s="7"/>
      <c r="B353" s="7"/>
      <c r="C353" s="7"/>
      <c r="F353" s="7"/>
      <c r="G353" s="6"/>
      <c r="K353" s="5"/>
      <c r="N353" s="6"/>
      <c r="Y353" s="5"/>
      <c r="Z353" s="6"/>
      <c r="AA353" s="7"/>
      <c r="AN353" s="5"/>
    </row>
    <row r="354" ht="15.75" customHeight="1">
      <c r="A354" s="7"/>
      <c r="B354" s="7"/>
      <c r="C354" s="7"/>
      <c r="F354" s="7"/>
      <c r="G354" s="6"/>
      <c r="K354" s="5"/>
      <c r="N354" s="6"/>
      <c r="Y354" s="5"/>
      <c r="Z354" s="6"/>
      <c r="AA354" s="7"/>
      <c r="AN354" s="5"/>
    </row>
    <row r="355" ht="15.75" customHeight="1">
      <c r="A355" s="7"/>
      <c r="B355" s="7"/>
      <c r="C355" s="7"/>
      <c r="F355" s="7"/>
      <c r="G355" s="6"/>
      <c r="K355" s="5"/>
      <c r="N355" s="6"/>
      <c r="Y355" s="5"/>
      <c r="Z355" s="6"/>
      <c r="AA355" s="7"/>
      <c r="AN355" s="5"/>
    </row>
    <row r="356" ht="15.75" customHeight="1">
      <c r="A356" s="7"/>
      <c r="B356" s="7"/>
      <c r="C356" s="7"/>
      <c r="F356" s="7"/>
      <c r="G356" s="6"/>
      <c r="K356" s="5"/>
      <c r="N356" s="6"/>
      <c r="Y356" s="5"/>
      <c r="Z356" s="6"/>
      <c r="AA356" s="7"/>
      <c r="AN356" s="5"/>
    </row>
    <row r="357" ht="15.75" customHeight="1">
      <c r="A357" s="7"/>
      <c r="B357" s="7"/>
      <c r="C357" s="7"/>
      <c r="F357" s="7"/>
      <c r="G357" s="6"/>
      <c r="K357" s="5"/>
      <c r="N357" s="6"/>
      <c r="Y357" s="5"/>
      <c r="Z357" s="6"/>
      <c r="AA357" s="7"/>
      <c r="AN357" s="5"/>
    </row>
    <row r="358" ht="15.75" customHeight="1">
      <c r="A358" s="7"/>
      <c r="B358" s="7"/>
      <c r="C358" s="7"/>
      <c r="F358" s="7"/>
      <c r="G358" s="6"/>
      <c r="K358" s="5"/>
      <c r="N358" s="6"/>
      <c r="Y358" s="5"/>
      <c r="Z358" s="6"/>
      <c r="AA358" s="7"/>
      <c r="AN358" s="5"/>
    </row>
    <row r="359" ht="15.75" customHeight="1">
      <c r="A359" s="7"/>
      <c r="B359" s="7"/>
      <c r="C359" s="7"/>
      <c r="F359" s="7"/>
      <c r="G359" s="6"/>
      <c r="K359" s="5"/>
      <c r="N359" s="6"/>
      <c r="Y359" s="5"/>
      <c r="Z359" s="6"/>
      <c r="AA359" s="7"/>
      <c r="AN359" s="5"/>
    </row>
    <row r="360" ht="15.75" customHeight="1">
      <c r="A360" s="7"/>
      <c r="B360" s="7"/>
      <c r="C360" s="7"/>
      <c r="F360" s="7"/>
      <c r="G360" s="6"/>
      <c r="K360" s="5"/>
      <c r="N360" s="6"/>
      <c r="Y360" s="5"/>
      <c r="Z360" s="6"/>
      <c r="AA360" s="7"/>
      <c r="AN360" s="5"/>
    </row>
    <row r="361" ht="15.75" customHeight="1">
      <c r="A361" s="7"/>
      <c r="B361" s="7"/>
      <c r="C361" s="7"/>
      <c r="F361" s="7"/>
      <c r="G361" s="6"/>
      <c r="K361" s="5"/>
      <c r="N361" s="6"/>
      <c r="Y361" s="5"/>
      <c r="Z361" s="6"/>
      <c r="AA361" s="7"/>
      <c r="AN361" s="5"/>
    </row>
    <row r="362" ht="15.75" customHeight="1">
      <c r="A362" s="7"/>
      <c r="B362" s="7"/>
      <c r="C362" s="7"/>
      <c r="F362" s="7"/>
      <c r="G362" s="6"/>
      <c r="K362" s="5"/>
      <c r="N362" s="6"/>
      <c r="Y362" s="5"/>
      <c r="Z362" s="6"/>
      <c r="AA362" s="7"/>
      <c r="AN362" s="5"/>
    </row>
    <row r="363" ht="15.75" customHeight="1">
      <c r="A363" s="7"/>
      <c r="B363" s="7"/>
      <c r="C363" s="7"/>
      <c r="F363" s="7"/>
      <c r="G363" s="6"/>
      <c r="K363" s="5"/>
      <c r="N363" s="6"/>
      <c r="Y363" s="5"/>
      <c r="Z363" s="6"/>
      <c r="AA363" s="7"/>
      <c r="AN363" s="5"/>
    </row>
    <row r="364" ht="15.75" customHeight="1">
      <c r="A364" s="7"/>
      <c r="B364" s="7"/>
      <c r="C364" s="7"/>
      <c r="F364" s="7"/>
      <c r="G364" s="6"/>
      <c r="K364" s="5"/>
      <c r="N364" s="6"/>
      <c r="Y364" s="5"/>
      <c r="Z364" s="6"/>
      <c r="AA364" s="7"/>
      <c r="AN364" s="5"/>
    </row>
    <row r="365" ht="15.75" customHeight="1">
      <c r="A365" s="7"/>
      <c r="B365" s="7"/>
      <c r="C365" s="7"/>
      <c r="F365" s="7"/>
      <c r="G365" s="6"/>
      <c r="K365" s="5"/>
      <c r="N365" s="6"/>
      <c r="Y365" s="5"/>
      <c r="Z365" s="6"/>
      <c r="AA365" s="7"/>
      <c r="AN365" s="5"/>
    </row>
    <row r="366" ht="15.75" customHeight="1">
      <c r="A366" s="7"/>
      <c r="B366" s="7"/>
      <c r="C366" s="7"/>
      <c r="F366" s="7"/>
      <c r="G366" s="6"/>
      <c r="K366" s="5"/>
      <c r="N366" s="6"/>
      <c r="Y366" s="5"/>
      <c r="Z366" s="6"/>
      <c r="AA366" s="7"/>
      <c r="AN366" s="5"/>
    </row>
    <row r="367" ht="15.75" customHeight="1">
      <c r="A367" s="7"/>
      <c r="B367" s="7"/>
      <c r="C367" s="7"/>
      <c r="F367" s="7"/>
      <c r="G367" s="6"/>
      <c r="K367" s="5"/>
      <c r="N367" s="6"/>
      <c r="Y367" s="5"/>
      <c r="Z367" s="6"/>
      <c r="AA367" s="7"/>
      <c r="AN367" s="5"/>
    </row>
    <row r="368" ht="15.75" customHeight="1">
      <c r="A368" s="7"/>
      <c r="B368" s="7"/>
      <c r="C368" s="7"/>
      <c r="F368" s="7"/>
      <c r="G368" s="6"/>
      <c r="K368" s="5"/>
      <c r="N368" s="6"/>
      <c r="Y368" s="5"/>
      <c r="Z368" s="6"/>
      <c r="AA368" s="7"/>
      <c r="AN368" s="5"/>
    </row>
    <row r="369" ht="15.75" customHeight="1">
      <c r="A369" s="7"/>
      <c r="B369" s="7"/>
      <c r="C369" s="7"/>
      <c r="F369" s="7"/>
      <c r="G369" s="6"/>
      <c r="K369" s="5"/>
      <c r="N369" s="6"/>
      <c r="Y369" s="5"/>
      <c r="Z369" s="6"/>
      <c r="AA369" s="7"/>
      <c r="AN369" s="5"/>
    </row>
    <row r="370" ht="15.75" customHeight="1">
      <c r="A370" s="7"/>
      <c r="B370" s="7"/>
      <c r="C370" s="7"/>
      <c r="F370" s="7"/>
      <c r="G370" s="6"/>
      <c r="K370" s="5"/>
      <c r="N370" s="6"/>
      <c r="Y370" s="5"/>
      <c r="Z370" s="6"/>
      <c r="AA370" s="7"/>
      <c r="AN370" s="5"/>
    </row>
    <row r="371" ht="15.75" customHeight="1">
      <c r="A371" s="7"/>
      <c r="B371" s="7"/>
      <c r="C371" s="7"/>
      <c r="F371" s="7"/>
      <c r="G371" s="6"/>
      <c r="K371" s="5"/>
      <c r="N371" s="6"/>
      <c r="Y371" s="5"/>
      <c r="Z371" s="6"/>
      <c r="AA371" s="7"/>
      <c r="AN371" s="5"/>
    </row>
    <row r="372" ht="15.75" customHeight="1">
      <c r="A372" s="7"/>
      <c r="B372" s="7"/>
      <c r="C372" s="7"/>
      <c r="F372" s="7"/>
      <c r="G372" s="6"/>
      <c r="K372" s="5"/>
      <c r="N372" s="6"/>
      <c r="Y372" s="5"/>
      <c r="Z372" s="6"/>
      <c r="AA372" s="7"/>
      <c r="AN372" s="5"/>
    </row>
    <row r="373" ht="15.75" customHeight="1">
      <c r="A373" s="7"/>
      <c r="B373" s="7"/>
      <c r="C373" s="7"/>
      <c r="F373" s="7"/>
      <c r="G373" s="6"/>
      <c r="K373" s="5"/>
      <c r="N373" s="6"/>
      <c r="Y373" s="5"/>
      <c r="Z373" s="6"/>
      <c r="AA373" s="7"/>
      <c r="AN373" s="5"/>
    </row>
    <row r="374" ht="15.75" customHeight="1">
      <c r="A374" s="7"/>
      <c r="B374" s="7"/>
      <c r="C374" s="7"/>
      <c r="F374" s="7"/>
      <c r="G374" s="6"/>
      <c r="K374" s="5"/>
      <c r="N374" s="6"/>
      <c r="Y374" s="5"/>
      <c r="Z374" s="6"/>
      <c r="AA374" s="7"/>
      <c r="AN374" s="5"/>
    </row>
    <row r="375" ht="15.75" customHeight="1">
      <c r="A375" s="7"/>
      <c r="B375" s="7"/>
      <c r="C375" s="7"/>
      <c r="F375" s="7"/>
      <c r="G375" s="6"/>
      <c r="K375" s="5"/>
      <c r="N375" s="6"/>
      <c r="Y375" s="5"/>
      <c r="Z375" s="6"/>
      <c r="AA375" s="7"/>
      <c r="AN375" s="5"/>
    </row>
    <row r="376" ht="15.75" customHeight="1">
      <c r="A376" s="7"/>
      <c r="B376" s="7"/>
      <c r="C376" s="7"/>
      <c r="F376" s="7"/>
      <c r="G376" s="6"/>
      <c r="K376" s="5"/>
      <c r="N376" s="6"/>
      <c r="Y376" s="5"/>
      <c r="Z376" s="6"/>
      <c r="AA376" s="7"/>
      <c r="AN376" s="5"/>
    </row>
    <row r="377" ht="15.75" customHeight="1">
      <c r="A377" s="7"/>
      <c r="B377" s="7"/>
      <c r="C377" s="7"/>
      <c r="F377" s="7"/>
      <c r="G377" s="6"/>
      <c r="K377" s="5"/>
      <c r="N377" s="6"/>
      <c r="Y377" s="5"/>
      <c r="Z377" s="6"/>
      <c r="AA377" s="7"/>
      <c r="AN377" s="5"/>
    </row>
    <row r="378" ht="15.75" customHeight="1">
      <c r="A378" s="7"/>
      <c r="B378" s="7"/>
      <c r="C378" s="7"/>
      <c r="F378" s="7"/>
      <c r="G378" s="6"/>
      <c r="K378" s="5"/>
      <c r="N378" s="6"/>
      <c r="Y378" s="5"/>
      <c r="Z378" s="6"/>
      <c r="AA378" s="7"/>
      <c r="AN378" s="5"/>
    </row>
    <row r="379" ht="15.75" customHeight="1">
      <c r="A379" s="7"/>
      <c r="B379" s="7"/>
      <c r="C379" s="7"/>
      <c r="F379" s="7"/>
      <c r="G379" s="6"/>
      <c r="K379" s="5"/>
      <c r="N379" s="6"/>
      <c r="Y379" s="5"/>
      <c r="Z379" s="6"/>
      <c r="AA379" s="7"/>
      <c r="AN379" s="5"/>
    </row>
    <row r="380" ht="15.75" customHeight="1">
      <c r="A380" s="7"/>
      <c r="B380" s="7"/>
      <c r="C380" s="7"/>
      <c r="F380" s="7"/>
      <c r="G380" s="6"/>
      <c r="K380" s="5"/>
      <c r="N380" s="6"/>
      <c r="Y380" s="5"/>
      <c r="Z380" s="6"/>
      <c r="AA380" s="7"/>
      <c r="AN380" s="5"/>
    </row>
    <row r="381" ht="15.75" customHeight="1">
      <c r="A381" s="7"/>
      <c r="B381" s="7"/>
      <c r="C381" s="7"/>
      <c r="F381" s="7"/>
      <c r="G381" s="6"/>
      <c r="K381" s="5"/>
      <c r="N381" s="6"/>
      <c r="Y381" s="5"/>
      <c r="Z381" s="6"/>
      <c r="AA381" s="7"/>
      <c r="AN381" s="5"/>
    </row>
    <row r="382" ht="15.75" customHeight="1">
      <c r="A382" s="7"/>
      <c r="B382" s="7"/>
      <c r="C382" s="7"/>
      <c r="F382" s="7"/>
      <c r="G382" s="6"/>
      <c r="K382" s="5"/>
      <c r="N382" s="6"/>
      <c r="Y382" s="5"/>
      <c r="Z382" s="6"/>
      <c r="AA382" s="7"/>
      <c r="AN382" s="5"/>
    </row>
    <row r="383" ht="15.75" customHeight="1">
      <c r="A383" s="7"/>
      <c r="B383" s="7"/>
      <c r="C383" s="7"/>
      <c r="F383" s="7"/>
      <c r="G383" s="6"/>
      <c r="K383" s="5"/>
      <c r="N383" s="6"/>
      <c r="Y383" s="5"/>
      <c r="Z383" s="6"/>
      <c r="AA383" s="7"/>
      <c r="AN383" s="5"/>
    </row>
    <row r="384" ht="15.75" customHeight="1">
      <c r="A384" s="7"/>
      <c r="B384" s="7"/>
      <c r="C384" s="7"/>
      <c r="F384" s="7"/>
      <c r="G384" s="6"/>
      <c r="K384" s="5"/>
      <c r="N384" s="6"/>
      <c r="Y384" s="5"/>
      <c r="Z384" s="6"/>
      <c r="AA384" s="7"/>
      <c r="AN384" s="5"/>
    </row>
    <row r="385" ht="15.75" customHeight="1">
      <c r="A385" s="7"/>
      <c r="B385" s="7"/>
      <c r="C385" s="7"/>
      <c r="F385" s="7"/>
      <c r="G385" s="6"/>
      <c r="K385" s="5"/>
      <c r="N385" s="6"/>
      <c r="Y385" s="5"/>
      <c r="Z385" s="6"/>
      <c r="AA385" s="7"/>
      <c r="AN385" s="5"/>
    </row>
    <row r="386" ht="15.75" customHeight="1">
      <c r="A386" s="7"/>
      <c r="B386" s="7"/>
      <c r="C386" s="7"/>
      <c r="F386" s="7"/>
      <c r="G386" s="6"/>
      <c r="K386" s="5"/>
      <c r="N386" s="6"/>
      <c r="Y386" s="5"/>
      <c r="Z386" s="6"/>
      <c r="AA386" s="7"/>
      <c r="AN386" s="5"/>
    </row>
    <row r="387" ht="15.75" customHeight="1">
      <c r="A387" s="7"/>
      <c r="B387" s="7"/>
      <c r="C387" s="7"/>
      <c r="F387" s="7"/>
      <c r="G387" s="6"/>
      <c r="K387" s="5"/>
      <c r="N387" s="6"/>
      <c r="Y387" s="5"/>
      <c r="Z387" s="6"/>
      <c r="AA387" s="7"/>
      <c r="AN387" s="5"/>
    </row>
    <row r="388" ht="15.75" customHeight="1">
      <c r="A388" s="7"/>
      <c r="B388" s="7"/>
      <c r="C388" s="7"/>
      <c r="F388" s="7"/>
      <c r="G388" s="6"/>
      <c r="K388" s="5"/>
      <c r="N388" s="6"/>
      <c r="Y388" s="5"/>
      <c r="Z388" s="6"/>
      <c r="AA388" s="7"/>
      <c r="AN388" s="5"/>
    </row>
    <row r="389" ht="15.75" customHeight="1">
      <c r="A389" s="7"/>
      <c r="B389" s="7"/>
      <c r="C389" s="7"/>
      <c r="F389" s="7"/>
      <c r="G389" s="6"/>
      <c r="K389" s="5"/>
      <c r="N389" s="6"/>
      <c r="Y389" s="5"/>
      <c r="Z389" s="6"/>
      <c r="AA389" s="7"/>
      <c r="AN389" s="5"/>
    </row>
    <row r="390" ht="15.75" customHeight="1">
      <c r="A390" s="7"/>
      <c r="B390" s="7"/>
      <c r="C390" s="7"/>
      <c r="F390" s="7"/>
      <c r="G390" s="6"/>
      <c r="K390" s="5"/>
      <c r="N390" s="6"/>
      <c r="Y390" s="5"/>
      <c r="Z390" s="6"/>
      <c r="AA390" s="7"/>
      <c r="AN390" s="5"/>
    </row>
    <row r="391" ht="15.75" customHeight="1">
      <c r="A391" s="7"/>
      <c r="B391" s="7"/>
      <c r="C391" s="7"/>
      <c r="F391" s="7"/>
      <c r="G391" s="6"/>
      <c r="K391" s="5"/>
      <c r="N391" s="6"/>
      <c r="Y391" s="5"/>
      <c r="Z391" s="6"/>
      <c r="AA391" s="7"/>
      <c r="AN391" s="5"/>
    </row>
    <row r="392" ht="15.75" customHeight="1">
      <c r="A392" s="7"/>
      <c r="B392" s="7"/>
      <c r="C392" s="7"/>
      <c r="F392" s="7"/>
      <c r="G392" s="6"/>
      <c r="K392" s="5"/>
      <c r="N392" s="6"/>
      <c r="Y392" s="5"/>
      <c r="Z392" s="6"/>
      <c r="AA392" s="7"/>
      <c r="AN392" s="5"/>
    </row>
    <row r="393" ht="15.75" customHeight="1">
      <c r="A393" s="7"/>
      <c r="B393" s="7"/>
      <c r="C393" s="7"/>
      <c r="F393" s="7"/>
      <c r="G393" s="6"/>
      <c r="K393" s="5"/>
      <c r="N393" s="6"/>
      <c r="Y393" s="5"/>
      <c r="Z393" s="6"/>
      <c r="AA393" s="7"/>
      <c r="AN393" s="5"/>
    </row>
    <row r="394" ht="15.75" customHeight="1">
      <c r="A394" s="7"/>
      <c r="B394" s="7"/>
      <c r="C394" s="7"/>
      <c r="F394" s="7"/>
      <c r="G394" s="6"/>
      <c r="K394" s="5"/>
      <c r="N394" s="6"/>
      <c r="Y394" s="5"/>
      <c r="Z394" s="6"/>
      <c r="AA394" s="7"/>
      <c r="AN394" s="5"/>
    </row>
    <row r="395" ht="15.75" customHeight="1">
      <c r="A395" s="7"/>
      <c r="B395" s="7"/>
      <c r="C395" s="7"/>
      <c r="F395" s="7"/>
      <c r="G395" s="6"/>
      <c r="K395" s="5"/>
      <c r="N395" s="6"/>
      <c r="Y395" s="5"/>
      <c r="Z395" s="6"/>
      <c r="AA395" s="7"/>
      <c r="AN395" s="5"/>
    </row>
    <row r="396" ht="15.75" customHeight="1">
      <c r="A396" s="7"/>
      <c r="B396" s="7"/>
      <c r="C396" s="7"/>
      <c r="F396" s="7"/>
      <c r="G396" s="6"/>
      <c r="K396" s="5"/>
      <c r="N396" s="6"/>
      <c r="Y396" s="5"/>
      <c r="Z396" s="6"/>
      <c r="AA396" s="7"/>
      <c r="AN396" s="5"/>
    </row>
    <row r="397" ht="15.75" customHeight="1">
      <c r="A397" s="7"/>
      <c r="B397" s="7"/>
      <c r="C397" s="7"/>
      <c r="F397" s="7"/>
      <c r="G397" s="6"/>
      <c r="K397" s="5"/>
      <c r="N397" s="6"/>
      <c r="Y397" s="5"/>
      <c r="Z397" s="6"/>
      <c r="AA397" s="7"/>
      <c r="AN397" s="5"/>
    </row>
    <row r="398" ht="15.75" customHeight="1">
      <c r="A398" s="7"/>
      <c r="B398" s="7"/>
      <c r="C398" s="7"/>
      <c r="F398" s="7"/>
      <c r="G398" s="6"/>
      <c r="K398" s="5"/>
      <c r="N398" s="6"/>
      <c r="Y398" s="5"/>
      <c r="Z398" s="6"/>
      <c r="AA398" s="7"/>
      <c r="AN398" s="5"/>
    </row>
    <row r="399" ht="15.75" customHeight="1">
      <c r="A399" s="7"/>
      <c r="B399" s="7"/>
      <c r="C399" s="7"/>
      <c r="F399" s="7"/>
      <c r="G399" s="6"/>
      <c r="K399" s="5"/>
      <c r="N399" s="6"/>
      <c r="Y399" s="5"/>
      <c r="Z399" s="6"/>
      <c r="AA399" s="7"/>
      <c r="AN399" s="5"/>
    </row>
    <row r="400" ht="15.75" customHeight="1">
      <c r="A400" s="7"/>
      <c r="B400" s="7"/>
      <c r="C400" s="7"/>
      <c r="F400" s="7"/>
      <c r="G400" s="6"/>
      <c r="K400" s="5"/>
      <c r="N400" s="6"/>
      <c r="Y400" s="5"/>
      <c r="Z400" s="6"/>
      <c r="AA400" s="7"/>
      <c r="AN400" s="5"/>
    </row>
    <row r="401" ht="15.75" customHeight="1">
      <c r="A401" s="7"/>
      <c r="B401" s="7"/>
      <c r="C401" s="7"/>
      <c r="F401" s="7"/>
      <c r="G401" s="6"/>
      <c r="K401" s="5"/>
      <c r="N401" s="6"/>
      <c r="Y401" s="5"/>
      <c r="Z401" s="6"/>
      <c r="AA401" s="7"/>
      <c r="AN401" s="5"/>
    </row>
    <row r="402" ht="15.75" customHeight="1">
      <c r="A402" s="7"/>
      <c r="B402" s="7"/>
      <c r="C402" s="7"/>
      <c r="F402" s="7"/>
      <c r="G402" s="6"/>
      <c r="K402" s="5"/>
      <c r="N402" s="6"/>
      <c r="Y402" s="5"/>
      <c r="Z402" s="6"/>
      <c r="AA402" s="7"/>
      <c r="AN402" s="5"/>
    </row>
    <row r="403" ht="15.75" customHeight="1">
      <c r="A403" s="7"/>
      <c r="B403" s="7"/>
      <c r="C403" s="7"/>
      <c r="F403" s="7"/>
      <c r="G403" s="6"/>
      <c r="K403" s="5"/>
      <c r="N403" s="6"/>
      <c r="Y403" s="5"/>
      <c r="Z403" s="6"/>
      <c r="AA403" s="7"/>
      <c r="AN403" s="5"/>
    </row>
    <row r="404" ht="15.75" customHeight="1">
      <c r="A404" s="7"/>
      <c r="B404" s="7"/>
      <c r="C404" s="7"/>
      <c r="F404" s="7"/>
      <c r="G404" s="6"/>
      <c r="K404" s="5"/>
      <c r="N404" s="6"/>
      <c r="Y404" s="5"/>
      <c r="Z404" s="6"/>
      <c r="AA404" s="7"/>
      <c r="AN404" s="5"/>
    </row>
    <row r="405" ht="15.75" customHeight="1">
      <c r="A405" s="7"/>
      <c r="B405" s="7"/>
      <c r="C405" s="7"/>
      <c r="F405" s="7"/>
      <c r="G405" s="6"/>
      <c r="K405" s="5"/>
      <c r="N405" s="6"/>
      <c r="Y405" s="5"/>
      <c r="Z405" s="6"/>
      <c r="AA405" s="7"/>
      <c r="AN405" s="5"/>
    </row>
    <row r="406" ht="15.75" customHeight="1">
      <c r="A406" s="7"/>
      <c r="B406" s="7"/>
      <c r="C406" s="7"/>
      <c r="F406" s="7"/>
      <c r="G406" s="6"/>
      <c r="K406" s="5"/>
      <c r="N406" s="6"/>
      <c r="Y406" s="5"/>
      <c r="Z406" s="6"/>
      <c r="AA406" s="7"/>
      <c r="AN406" s="5"/>
    </row>
    <row r="407" ht="15.75" customHeight="1">
      <c r="A407" s="7"/>
      <c r="B407" s="7"/>
      <c r="C407" s="7"/>
      <c r="F407" s="7"/>
      <c r="G407" s="6"/>
      <c r="K407" s="5"/>
      <c r="N407" s="6"/>
      <c r="Y407" s="5"/>
      <c r="Z407" s="6"/>
      <c r="AA407" s="7"/>
      <c r="AN407" s="5"/>
    </row>
    <row r="408" ht="15.75" customHeight="1">
      <c r="A408" s="7"/>
      <c r="B408" s="7"/>
      <c r="C408" s="7"/>
      <c r="F408" s="7"/>
      <c r="G408" s="6"/>
      <c r="K408" s="5"/>
      <c r="N408" s="6"/>
      <c r="Y408" s="5"/>
      <c r="Z408" s="6"/>
      <c r="AA408" s="7"/>
      <c r="AN408" s="5"/>
    </row>
    <row r="409" ht="15.75" customHeight="1">
      <c r="A409" s="7"/>
      <c r="B409" s="7"/>
      <c r="C409" s="7"/>
      <c r="F409" s="7"/>
      <c r="G409" s="6"/>
      <c r="K409" s="5"/>
      <c r="N409" s="6"/>
      <c r="Y409" s="5"/>
      <c r="Z409" s="6"/>
      <c r="AA409" s="7"/>
      <c r="AN409" s="5"/>
    </row>
    <row r="410" ht="15.75" customHeight="1">
      <c r="A410" s="7"/>
      <c r="B410" s="7"/>
      <c r="C410" s="7"/>
      <c r="F410" s="7"/>
      <c r="G410" s="6"/>
      <c r="K410" s="5"/>
      <c r="N410" s="6"/>
      <c r="Y410" s="5"/>
      <c r="Z410" s="6"/>
      <c r="AA410" s="7"/>
      <c r="AN410" s="5"/>
    </row>
    <row r="411" ht="15.75" customHeight="1">
      <c r="A411" s="7"/>
      <c r="B411" s="7"/>
      <c r="C411" s="7"/>
      <c r="F411" s="7"/>
      <c r="G411" s="6"/>
      <c r="K411" s="5"/>
      <c r="N411" s="6"/>
      <c r="Y411" s="5"/>
      <c r="Z411" s="6"/>
      <c r="AA411" s="7"/>
      <c r="AN411" s="5"/>
    </row>
    <row r="412" ht="15.75" customHeight="1">
      <c r="A412" s="7"/>
      <c r="B412" s="7"/>
      <c r="C412" s="7"/>
      <c r="F412" s="7"/>
      <c r="G412" s="6"/>
      <c r="K412" s="5"/>
      <c r="N412" s="6"/>
      <c r="Y412" s="5"/>
      <c r="Z412" s="6"/>
      <c r="AA412" s="7"/>
      <c r="AN412" s="5"/>
    </row>
    <row r="413" ht="15.75" customHeight="1">
      <c r="A413" s="7"/>
      <c r="B413" s="7"/>
      <c r="C413" s="7"/>
      <c r="F413" s="7"/>
      <c r="G413" s="6"/>
      <c r="K413" s="5"/>
      <c r="N413" s="6"/>
      <c r="Y413" s="5"/>
      <c r="Z413" s="6"/>
      <c r="AA413" s="7"/>
      <c r="AN413" s="5"/>
    </row>
    <row r="414" ht="15.75" customHeight="1">
      <c r="A414" s="7"/>
      <c r="B414" s="7"/>
      <c r="C414" s="7"/>
      <c r="F414" s="7"/>
      <c r="G414" s="6"/>
      <c r="K414" s="5"/>
      <c r="N414" s="6"/>
      <c r="Y414" s="5"/>
      <c r="Z414" s="6"/>
      <c r="AA414" s="7"/>
      <c r="AN414" s="5"/>
    </row>
    <row r="415" ht="15.75" customHeight="1">
      <c r="A415" s="7"/>
      <c r="B415" s="7"/>
      <c r="C415" s="7"/>
      <c r="F415" s="7"/>
      <c r="G415" s="6"/>
      <c r="K415" s="5"/>
      <c r="N415" s="6"/>
      <c r="Y415" s="5"/>
      <c r="Z415" s="6"/>
      <c r="AA415" s="7"/>
      <c r="AN415" s="5"/>
    </row>
    <row r="416" ht="15.75" customHeight="1">
      <c r="A416" s="7"/>
      <c r="B416" s="7"/>
      <c r="C416" s="7"/>
      <c r="F416" s="7"/>
      <c r="G416" s="6"/>
      <c r="K416" s="5"/>
      <c r="N416" s="6"/>
      <c r="Y416" s="5"/>
      <c r="Z416" s="6"/>
      <c r="AA416" s="7"/>
      <c r="AN416" s="5"/>
    </row>
    <row r="417" ht="15.75" customHeight="1">
      <c r="A417" s="7"/>
      <c r="B417" s="7"/>
      <c r="C417" s="7"/>
      <c r="F417" s="7"/>
      <c r="G417" s="6"/>
      <c r="K417" s="5"/>
      <c r="N417" s="6"/>
      <c r="Y417" s="5"/>
      <c r="Z417" s="6"/>
      <c r="AA417" s="7"/>
      <c r="AN417" s="5"/>
    </row>
    <row r="418" ht="15.75" customHeight="1">
      <c r="A418" s="7"/>
      <c r="B418" s="7"/>
      <c r="C418" s="7"/>
      <c r="F418" s="7"/>
      <c r="G418" s="6"/>
      <c r="K418" s="5"/>
      <c r="N418" s="6"/>
      <c r="Y418" s="5"/>
      <c r="Z418" s="6"/>
      <c r="AA418" s="7"/>
      <c r="AN418" s="5"/>
    </row>
    <row r="419" ht="15.75" customHeight="1">
      <c r="A419" s="7"/>
      <c r="B419" s="7"/>
      <c r="C419" s="7"/>
      <c r="F419" s="7"/>
      <c r="G419" s="6"/>
      <c r="K419" s="5"/>
      <c r="N419" s="6"/>
      <c r="Y419" s="5"/>
      <c r="Z419" s="6"/>
      <c r="AA419" s="7"/>
      <c r="AN419" s="5"/>
    </row>
    <row r="420" ht="15.75" customHeight="1">
      <c r="A420" s="7"/>
      <c r="B420" s="7"/>
      <c r="C420" s="7"/>
      <c r="F420" s="7"/>
      <c r="G420" s="6"/>
      <c r="K420" s="5"/>
      <c r="N420" s="6"/>
      <c r="Y420" s="5"/>
      <c r="Z420" s="6"/>
      <c r="AA420" s="7"/>
      <c r="AN420" s="5"/>
    </row>
    <row r="421" ht="15.75" customHeight="1">
      <c r="A421" s="7"/>
      <c r="B421" s="7"/>
      <c r="C421" s="7"/>
      <c r="F421" s="7"/>
      <c r="G421" s="6"/>
      <c r="K421" s="5"/>
      <c r="N421" s="6"/>
      <c r="Y421" s="5"/>
      <c r="Z421" s="6"/>
      <c r="AA421" s="7"/>
      <c r="AN421" s="5"/>
    </row>
    <row r="422" ht="15.75" customHeight="1">
      <c r="A422" s="7"/>
      <c r="B422" s="7"/>
      <c r="C422" s="7"/>
      <c r="F422" s="7"/>
      <c r="G422" s="6"/>
      <c r="K422" s="5"/>
      <c r="N422" s="6"/>
      <c r="Y422" s="5"/>
      <c r="Z422" s="6"/>
      <c r="AA422" s="7"/>
      <c r="AN422" s="5"/>
    </row>
    <row r="423" ht="15.75" customHeight="1">
      <c r="A423" s="7"/>
      <c r="B423" s="7"/>
      <c r="C423" s="7"/>
      <c r="F423" s="7"/>
      <c r="G423" s="6"/>
      <c r="K423" s="5"/>
      <c r="N423" s="6"/>
      <c r="Y423" s="5"/>
      <c r="Z423" s="6"/>
      <c r="AA423" s="7"/>
      <c r="AN423" s="5"/>
    </row>
    <row r="424" ht="15.75" customHeight="1">
      <c r="A424" s="7"/>
      <c r="B424" s="7"/>
      <c r="C424" s="7"/>
      <c r="F424" s="7"/>
      <c r="G424" s="6"/>
      <c r="K424" s="5"/>
      <c r="N424" s="6"/>
      <c r="Y424" s="5"/>
      <c r="Z424" s="6"/>
      <c r="AA424" s="7"/>
      <c r="AN424" s="5"/>
    </row>
    <row r="425" ht="15.75" customHeight="1">
      <c r="A425" s="7"/>
      <c r="B425" s="7"/>
      <c r="C425" s="7"/>
      <c r="F425" s="7"/>
      <c r="G425" s="6"/>
      <c r="K425" s="5"/>
      <c r="N425" s="6"/>
      <c r="Y425" s="5"/>
      <c r="Z425" s="6"/>
      <c r="AA425" s="7"/>
      <c r="AN425" s="5"/>
    </row>
    <row r="426" ht="15.75" customHeight="1">
      <c r="A426" s="7"/>
      <c r="B426" s="7"/>
      <c r="C426" s="7"/>
      <c r="F426" s="7"/>
      <c r="G426" s="6"/>
      <c r="K426" s="5"/>
      <c r="N426" s="6"/>
      <c r="Y426" s="5"/>
      <c r="Z426" s="6"/>
      <c r="AA426" s="7"/>
      <c r="AN426" s="5"/>
    </row>
    <row r="427" ht="15.75" customHeight="1">
      <c r="A427" s="7"/>
      <c r="B427" s="7"/>
      <c r="C427" s="7"/>
      <c r="F427" s="7"/>
      <c r="G427" s="6"/>
      <c r="K427" s="5"/>
      <c r="N427" s="6"/>
      <c r="Y427" s="5"/>
      <c r="Z427" s="6"/>
      <c r="AA427" s="7"/>
      <c r="AN427" s="5"/>
    </row>
    <row r="428" ht="15.75" customHeight="1">
      <c r="A428" s="7"/>
      <c r="B428" s="7"/>
      <c r="C428" s="7"/>
      <c r="F428" s="7"/>
      <c r="G428" s="6"/>
      <c r="K428" s="5"/>
      <c r="N428" s="6"/>
      <c r="Y428" s="5"/>
      <c r="Z428" s="6"/>
      <c r="AA428" s="7"/>
      <c r="AN428" s="5"/>
    </row>
    <row r="429" ht="15.75" customHeight="1">
      <c r="A429" s="7"/>
      <c r="B429" s="7"/>
      <c r="C429" s="7"/>
      <c r="F429" s="7"/>
      <c r="G429" s="6"/>
      <c r="K429" s="5"/>
      <c r="N429" s="6"/>
      <c r="Y429" s="5"/>
      <c r="Z429" s="6"/>
      <c r="AA429" s="7"/>
      <c r="AN429" s="5"/>
    </row>
    <row r="430" ht="15.75" customHeight="1">
      <c r="A430" s="7"/>
      <c r="B430" s="7"/>
      <c r="C430" s="7"/>
      <c r="F430" s="7"/>
      <c r="G430" s="6"/>
      <c r="K430" s="5"/>
      <c r="N430" s="6"/>
      <c r="Y430" s="5"/>
      <c r="Z430" s="6"/>
      <c r="AA430" s="7"/>
      <c r="AN430" s="5"/>
    </row>
    <row r="431" ht="15.75" customHeight="1">
      <c r="A431" s="7"/>
      <c r="B431" s="7"/>
      <c r="C431" s="7"/>
      <c r="F431" s="7"/>
      <c r="G431" s="6"/>
      <c r="K431" s="5"/>
      <c r="N431" s="6"/>
      <c r="Y431" s="5"/>
      <c r="Z431" s="6"/>
      <c r="AA431" s="7"/>
      <c r="AN431" s="5"/>
    </row>
    <row r="432" ht="15.75" customHeight="1">
      <c r="A432" s="7"/>
      <c r="B432" s="7"/>
      <c r="C432" s="7"/>
      <c r="F432" s="7"/>
      <c r="G432" s="6"/>
      <c r="K432" s="5"/>
      <c r="N432" s="6"/>
      <c r="Y432" s="5"/>
      <c r="Z432" s="6"/>
      <c r="AA432" s="7"/>
      <c r="AN432" s="5"/>
    </row>
    <row r="433" ht="15.75" customHeight="1">
      <c r="A433" s="7"/>
      <c r="B433" s="7"/>
      <c r="C433" s="7"/>
      <c r="F433" s="7"/>
      <c r="G433" s="6"/>
      <c r="K433" s="5"/>
      <c r="N433" s="6"/>
      <c r="Y433" s="5"/>
      <c r="Z433" s="6"/>
      <c r="AA433" s="7"/>
      <c r="AN433" s="5"/>
    </row>
    <row r="434" ht="15.75" customHeight="1">
      <c r="A434" s="7"/>
      <c r="B434" s="7"/>
      <c r="C434" s="7"/>
      <c r="F434" s="7"/>
      <c r="G434" s="6"/>
      <c r="K434" s="5"/>
      <c r="N434" s="6"/>
      <c r="Y434" s="5"/>
      <c r="Z434" s="6"/>
      <c r="AA434" s="7"/>
      <c r="AN434" s="5"/>
    </row>
    <row r="435" ht="15.75" customHeight="1">
      <c r="A435" s="7"/>
      <c r="B435" s="7"/>
      <c r="C435" s="7"/>
      <c r="F435" s="7"/>
      <c r="G435" s="6"/>
      <c r="K435" s="5"/>
      <c r="N435" s="6"/>
      <c r="Y435" s="5"/>
      <c r="Z435" s="6"/>
      <c r="AA435" s="7"/>
      <c r="AN435" s="5"/>
    </row>
    <row r="436" ht="15.75" customHeight="1">
      <c r="A436" s="7"/>
      <c r="B436" s="7"/>
      <c r="C436" s="7"/>
      <c r="F436" s="7"/>
      <c r="G436" s="6"/>
      <c r="K436" s="5"/>
      <c r="N436" s="6"/>
      <c r="Y436" s="5"/>
      <c r="Z436" s="6"/>
      <c r="AA436" s="7"/>
      <c r="AN436" s="5"/>
    </row>
    <row r="437" ht="15.75" customHeight="1">
      <c r="A437" s="7"/>
      <c r="B437" s="7"/>
      <c r="C437" s="7"/>
      <c r="F437" s="7"/>
      <c r="G437" s="6"/>
      <c r="K437" s="5"/>
      <c r="N437" s="6"/>
      <c r="Y437" s="5"/>
      <c r="Z437" s="6"/>
      <c r="AA437" s="7"/>
      <c r="AN437" s="5"/>
    </row>
    <row r="438" ht="15.75" customHeight="1">
      <c r="A438" s="7"/>
      <c r="B438" s="7"/>
      <c r="C438" s="7"/>
      <c r="F438" s="7"/>
      <c r="G438" s="6"/>
      <c r="K438" s="5"/>
      <c r="N438" s="6"/>
      <c r="Y438" s="5"/>
      <c r="Z438" s="6"/>
      <c r="AA438" s="7"/>
      <c r="AN438" s="5"/>
    </row>
    <row r="439" ht="15.75" customHeight="1">
      <c r="A439" s="7"/>
      <c r="B439" s="7"/>
      <c r="C439" s="7"/>
      <c r="F439" s="7"/>
      <c r="G439" s="6"/>
      <c r="K439" s="5"/>
      <c r="N439" s="6"/>
      <c r="Y439" s="5"/>
      <c r="Z439" s="6"/>
      <c r="AA439" s="7"/>
      <c r="AN439" s="5"/>
    </row>
    <row r="440" ht="15.75" customHeight="1">
      <c r="A440" s="7"/>
      <c r="B440" s="7"/>
      <c r="C440" s="7"/>
      <c r="F440" s="7"/>
      <c r="G440" s="6"/>
      <c r="K440" s="5"/>
      <c r="N440" s="6"/>
      <c r="Y440" s="5"/>
      <c r="Z440" s="6"/>
      <c r="AA440" s="7"/>
      <c r="AN440" s="5"/>
    </row>
    <row r="441" ht="15.75" customHeight="1">
      <c r="A441" s="7"/>
      <c r="B441" s="7"/>
      <c r="C441" s="7"/>
      <c r="F441" s="7"/>
      <c r="G441" s="6"/>
      <c r="K441" s="5"/>
      <c r="N441" s="6"/>
      <c r="Y441" s="5"/>
      <c r="Z441" s="6"/>
      <c r="AA441" s="7"/>
      <c r="AN441" s="5"/>
    </row>
    <row r="442" ht="15.75" customHeight="1">
      <c r="A442" s="7"/>
      <c r="B442" s="7"/>
      <c r="C442" s="7"/>
      <c r="F442" s="7"/>
      <c r="G442" s="6"/>
      <c r="K442" s="5"/>
      <c r="N442" s="6"/>
      <c r="Y442" s="5"/>
      <c r="Z442" s="6"/>
      <c r="AA442" s="7"/>
      <c r="AN442" s="5"/>
    </row>
    <row r="443" ht="15.75" customHeight="1">
      <c r="A443" s="7"/>
      <c r="B443" s="7"/>
      <c r="C443" s="7"/>
      <c r="F443" s="7"/>
      <c r="G443" s="6"/>
      <c r="K443" s="5"/>
      <c r="N443" s="6"/>
      <c r="Y443" s="5"/>
      <c r="Z443" s="6"/>
      <c r="AA443" s="7"/>
      <c r="AN443" s="5"/>
    </row>
    <row r="444" ht="15.75" customHeight="1">
      <c r="A444" s="7"/>
      <c r="B444" s="7"/>
      <c r="C444" s="7"/>
      <c r="F444" s="7"/>
      <c r="G444" s="6"/>
      <c r="K444" s="5"/>
      <c r="N444" s="6"/>
      <c r="Y444" s="5"/>
      <c r="Z444" s="6"/>
      <c r="AA444" s="7"/>
      <c r="AN444" s="5"/>
    </row>
    <row r="445" ht="15.75" customHeight="1">
      <c r="A445" s="7"/>
      <c r="B445" s="7"/>
      <c r="C445" s="7"/>
      <c r="F445" s="7"/>
      <c r="G445" s="6"/>
      <c r="K445" s="5"/>
      <c r="N445" s="6"/>
      <c r="Y445" s="5"/>
      <c r="Z445" s="6"/>
      <c r="AA445" s="7"/>
      <c r="AN445" s="5"/>
    </row>
    <row r="446" ht="15.75" customHeight="1">
      <c r="A446" s="7"/>
      <c r="B446" s="7"/>
      <c r="C446" s="7"/>
      <c r="F446" s="7"/>
      <c r="G446" s="6"/>
      <c r="K446" s="5"/>
      <c r="N446" s="6"/>
      <c r="Y446" s="5"/>
      <c r="Z446" s="6"/>
      <c r="AA446" s="7"/>
      <c r="AN446" s="5"/>
    </row>
    <row r="447" ht="15.75" customHeight="1">
      <c r="A447" s="7"/>
      <c r="B447" s="7"/>
      <c r="C447" s="7"/>
      <c r="F447" s="7"/>
      <c r="G447" s="6"/>
      <c r="K447" s="5"/>
      <c r="N447" s="6"/>
      <c r="Y447" s="5"/>
      <c r="Z447" s="6"/>
      <c r="AA447" s="7"/>
      <c r="AN447" s="5"/>
    </row>
    <row r="448" ht="15.75" customHeight="1">
      <c r="A448" s="7"/>
      <c r="B448" s="7"/>
      <c r="C448" s="7"/>
      <c r="F448" s="7"/>
      <c r="G448" s="6"/>
      <c r="K448" s="5"/>
      <c r="N448" s="6"/>
      <c r="Y448" s="5"/>
      <c r="Z448" s="6"/>
      <c r="AA448" s="7"/>
      <c r="AN448" s="5"/>
    </row>
    <row r="449" ht="15.75" customHeight="1">
      <c r="A449" s="7"/>
      <c r="B449" s="7"/>
      <c r="C449" s="7"/>
      <c r="F449" s="7"/>
      <c r="G449" s="6"/>
      <c r="K449" s="5"/>
      <c r="N449" s="6"/>
      <c r="Y449" s="5"/>
      <c r="Z449" s="6"/>
      <c r="AA449" s="7"/>
      <c r="AN449" s="5"/>
    </row>
    <row r="450" ht="15.75" customHeight="1">
      <c r="A450" s="7"/>
      <c r="B450" s="7"/>
      <c r="C450" s="7"/>
      <c r="F450" s="7"/>
      <c r="G450" s="6"/>
      <c r="K450" s="5"/>
      <c r="N450" s="6"/>
      <c r="Y450" s="5"/>
      <c r="Z450" s="6"/>
      <c r="AA450" s="7"/>
      <c r="AN450" s="5"/>
    </row>
    <row r="451" ht="15.75" customHeight="1">
      <c r="A451" s="7"/>
      <c r="B451" s="7"/>
      <c r="C451" s="7"/>
      <c r="F451" s="7"/>
      <c r="G451" s="6"/>
      <c r="K451" s="5"/>
      <c r="N451" s="6"/>
      <c r="Y451" s="5"/>
      <c r="Z451" s="6"/>
      <c r="AA451" s="7"/>
      <c r="AN451" s="5"/>
    </row>
    <row r="452" ht="15.75" customHeight="1">
      <c r="A452" s="7"/>
      <c r="B452" s="7"/>
      <c r="C452" s="7"/>
      <c r="F452" s="7"/>
      <c r="G452" s="6"/>
      <c r="K452" s="5"/>
      <c r="N452" s="6"/>
      <c r="Y452" s="5"/>
      <c r="Z452" s="6"/>
      <c r="AA452" s="7"/>
      <c r="AN452" s="5"/>
    </row>
    <row r="453" ht="15.75" customHeight="1">
      <c r="A453" s="7"/>
      <c r="B453" s="7"/>
      <c r="C453" s="7"/>
      <c r="F453" s="7"/>
      <c r="G453" s="6"/>
      <c r="K453" s="5"/>
      <c r="N453" s="6"/>
      <c r="Y453" s="5"/>
      <c r="Z453" s="6"/>
      <c r="AA453" s="7"/>
      <c r="AN453" s="5"/>
    </row>
    <row r="454" ht="15.75" customHeight="1">
      <c r="A454" s="7"/>
      <c r="B454" s="7"/>
      <c r="C454" s="7"/>
      <c r="F454" s="7"/>
      <c r="G454" s="6"/>
      <c r="K454" s="5"/>
      <c r="N454" s="6"/>
      <c r="Y454" s="5"/>
      <c r="Z454" s="6"/>
      <c r="AA454" s="7"/>
      <c r="AN454" s="5"/>
    </row>
    <row r="455" ht="15.75" customHeight="1">
      <c r="A455" s="7"/>
      <c r="B455" s="7"/>
      <c r="C455" s="7"/>
      <c r="F455" s="7"/>
      <c r="G455" s="6"/>
      <c r="K455" s="5"/>
      <c r="N455" s="6"/>
      <c r="Y455" s="5"/>
      <c r="Z455" s="6"/>
      <c r="AA455" s="7"/>
      <c r="AN455" s="5"/>
    </row>
    <row r="456" ht="15.75" customHeight="1">
      <c r="A456" s="7"/>
      <c r="B456" s="7"/>
      <c r="C456" s="7"/>
      <c r="F456" s="7"/>
      <c r="G456" s="6"/>
      <c r="K456" s="5"/>
      <c r="N456" s="6"/>
      <c r="Y456" s="5"/>
      <c r="Z456" s="6"/>
      <c r="AA456" s="7"/>
      <c r="AN456" s="5"/>
    </row>
    <row r="457" ht="15.75" customHeight="1">
      <c r="A457" s="7"/>
      <c r="B457" s="7"/>
      <c r="C457" s="7"/>
      <c r="F457" s="7"/>
      <c r="G457" s="6"/>
      <c r="K457" s="5"/>
      <c r="N457" s="6"/>
      <c r="Y457" s="5"/>
      <c r="Z457" s="6"/>
      <c r="AA457" s="7"/>
      <c r="AN457" s="5"/>
    </row>
    <row r="458" ht="15.75" customHeight="1">
      <c r="A458" s="7"/>
      <c r="B458" s="7"/>
      <c r="C458" s="7"/>
      <c r="F458" s="7"/>
      <c r="G458" s="6"/>
      <c r="K458" s="5"/>
      <c r="N458" s="6"/>
      <c r="Y458" s="5"/>
      <c r="Z458" s="6"/>
      <c r="AA458" s="7"/>
      <c r="AN458" s="5"/>
    </row>
    <row r="459" ht="15.75" customHeight="1">
      <c r="A459" s="7"/>
      <c r="B459" s="7"/>
      <c r="C459" s="7"/>
      <c r="F459" s="7"/>
      <c r="G459" s="6"/>
      <c r="K459" s="5"/>
      <c r="N459" s="6"/>
      <c r="Y459" s="5"/>
      <c r="Z459" s="6"/>
      <c r="AA459" s="7"/>
      <c r="AN459" s="5"/>
    </row>
    <row r="460" ht="15.75" customHeight="1">
      <c r="A460" s="7"/>
      <c r="B460" s="7"/>
      <c r="C460" s="7"/>
      <c r="F460" s="7"/>
      <c r="G460" s="6"/>
      <c r="K460" s="5"/>
      <c r="N460" s="6"/>
      <c r="Y460" s="5"/>
      <c r="Z460" s="6"/>
      <c r="AA460" s="7"/>
      <c r="AN460" s="5"/>
    </row>
    <row r="461" ht="15.75" customHeight="1">
      <c r="A461" s="7"/>
      <c r="B461" s="7"/>
      <c r="C461" s="7"/>
      <c r="F461" s="7"/>
      <c r="G461" s="6"/>
      <c r="K461" s="5"/>
      <c r="N461" s="6"/>
      <c r="Y461" s="5"/>
      <c r="Z461" s="6"/>
      <c r="AA461" s="7"/>
      <c r="AN461" s="5"/>
    </row>
    <row r="462" ht="15.75" customHeight="1">
      <c r="A462" s="7"/>
      <c r="B462" s="7"/>
      <c r="C462" s="7"/>
      <c r="F462" s="7"/>
      <c r="G462" s="6"/>
      <c r="K462" s="5"/>
      <c r="N462" s="6"/>
      <c r="Y462" s="5"/>
      <c r="Z462" s="6"/>
      <c r="AA462" s="7"/>
      <c r="AN462" s="5"/>
    </row>
    <row r="463" ht="15.75" customHeight="1">
      <c r="A463" s="7"/>
      <c r="B463" s="7"/>
      <c r="C463" s="7"/>
      <c r="F463" s="7"/>
      <c r="G463" s="6"/>
      <c r="K463" s="5"/>
      <c r="N463" s="6"/>
      <c r="Y463" s="5"/>
      <c r="Z463" s="6"/>
      <c r="AA463" s="7"/>
      <c r="AN463" s="5"/>
    </row>
    <row r="464" ht="15.75" customHeight="1">
      <c r="A464" s="7"/>
      <c r="B464" s="7"/>
      <c r="C464" s="7"/>
      <c r="F464" s="7"/>
      <c r="G464" s="6"/>
      <c r="K464" s="5"/>
      <c r="N464" s="6"/>
      <c r="Y464" s="5"/>
      <c r="Z464" s="6"/>
      <c r="AA464" s="7"/>
      <c r="AN464" s="5"/>
    </row>
    <row r="465" ht="15.75" customHeight="1">
      <c r="A465" s="7"/>
      <c r="B465" s="7"/>
      <c r="C465" s="7"/>
      <c r="F465" s="7"/>
      <c r="G465" s="6"/>
      <c r="K465" s="5"/>
      <c r="N465" s="6"/>
      <c r="Y465" s="5"/>
      <c r="Z465" s="6"/>
      <c r="AA465" s="7"/>
      <c r="AN465" s="5"/>
    </row>
    <row r="466" ht="15.75" customHeight="1">
      <c r="A466" s="7"/>
      <c r="B466" s="7"/>
      <c r="C466" s="7"/>
      <c r="F466" s="7"/>
      <c r="G466" s="6"/>
      <c r="K466" s="5"/>
      <c r="N466" s="6"/>
      <c r="Y466" s="5"/>
      <c r="Z466" s="6"/>
      <c r="AA466" s="7"/>
      <c r="AN466" s="5"/>
    </row>
    <row r="467" ht="15.75" customHeight="1">
      <c r="A467" s="7"/>
      <c r="B467" s="7"/>
      <c r="C467" s="7"/>
      <c r="F467" s="7"/>
      <c r="G467" s="6"/>
      <c r="K467" s="5"/>
      <c r="N467" s="6"/>
      <c r="Y467" s="5"/>
      <c r="Z467" s="6"/>
      <c r="AA467" s="7"/>
      <c r="AN467" s="5"/>
    </row>
    <row r="468" ht="15.75" customHeight="1">
      <c r="A468" s="7"/>
      <c r="B468" s="7"/>
      <c r="C468" s="7"/>
      <c r="F468" s="7"/>
      <c r="G468" s="6"/>
      <c r="K468" s="5"/>
      <c r="N468" s="6"/>
      <c r="Y468" s="5"/>
      <c r="Z468" s="6"/>
      <c r="AA468" s="7"/>
      <c r="AN468" s="5"/>
    </row>
    <row r="469" ht="15.75" customHeight="1">
      <c r="A469" s="7"/>
      <c r="B469" s="7"/>
      <c r="C469" s="7"/>
      <c r="F469" s="7"/>
      <c r="G469" s="6"/>
      <c r="K469" s="5"/>
      <c r="N469" s="6"/>
      <c r="Y469" s="5"/>
      <c r="Z469" s="6"/>
      <c r="AA469" s="7"/>
      <c r="AN469" s="5"/>
    </row>
    <row r="470" ht="15.75" customHeight="1">
      <c r="A470" s="7"/>
      <c r="B470" s="7"/>
      <c r="C470" s="7"/>
      <c r="F470" s="7"/>
      <c r="G470" s="6"/>
      <c r="K470" s="5"/>
      <c r="N470" s="6"/>
      <c r="Y470" s="5"/>
      <c r="Z470" s="6"/>
      <c r="AA470" s="7"/>
      <c r="AN470" s="5"/>
    </row>
    <row r="471" ht="15.75" customHeight="1">
      <c r="A471" s="7"/>
      <c r="B471" s="7"/>
      <c r="C471" s="7"/>
      <c r="F471" s="7"/>
      <c r="G471" s="6"/>
      <c r="K471" s="5"/>
      <c r="N471" s="6"/>
      <c r="Y471" s="5"/>
      <c r="Z471" s="6"/>
      <c r="AA471" s="7"/>
      <c r="AN471" s="5"/>
    </row>
    <row r="472" ht="15.75" customHeight="1">
      <c r="A472" s="7"/>
      <c r="B472" s="7"/>
      <c r="C472" s="7"/>
      <c r="F472" s="7"/>
      <c r="G472" s="6"/>
      <c r="K472" s="5"/>
      <c r="N472" s="6"/>
      <c r="Y472" s="5"/>
      <c r="Z472" s="6"/>
      <c r="AA472" s="7"/>
      <c r="AN472" s="5"/>
    </row>
    <row r="473" ht="15.75" customHeight="1">
      <c r="A473" s="7"/>
      <c r="B473" s="7"/>
      <c r="C473" s="7"/>
      <c r="F473" s="7"/>
      <c r="G473" s="6"/>
      <c r="K473" s="5"/>
      <c r="N473" s="6"/>
      <c r="Y473" s="5"/>
      <c r="Z473" s="6"/>
      <c r="AA473" s="7"/>
      <c r="AN473" s="5"/>
    </row>
    <row r="474" ht="15.75" customHeight="1">
      <c r="A474" s="7"/>
      <c r="B474" s="7"/>
      <c r="C474" s="7"/>
      <c r="F474" s="7"/>
      <c r="G474" s="6"/>
      <c r="K474" s="5"/>
      <c r="N474" s="6"/>
      <c r="Y474" s="5"/>
      <c r="Z474" s="6"/>
      <c r="AA474" s="7"/>
      <c r="AN474" s="5"/>
    </row>
    <row r="475" ht="15.75" customHeight="1">
      <c r="A475" s="7"/>
      <c r="B475" s="7"/>
      <c r="C475" s="7"/>
      <c r="F475" s="7"/>
      <c r="G475" s="6"/>
      <c r="K475" s="5"/>
      <c r="N475" s="6"/>
      <c r="Y475" s="5"/>
      <c r="Z475" s="6"/>
      <c r="AA475" s="7"/>
      <c r="AN475" s="5"/>
    </row>
    <row r="476" ht="15.75" customHeight="1">
      <c r="A476" s="7"/>
      <c r="B476" s="7"/>
      <c r="C476" s="7"/>
      <c r="F476" s="7"/>
      <c r="G476" s="6"/>
      <c r="K476" s="5"/>
      <c r="N476" s="6"/>
      <c r="Y476" s="5"/>
      <c r="Z476" s="6"/>
      <c r="AA476" s="7"/>
      <c r="AN476" s="5"/>
    </row>
    <row r="477" ht="15.75" customHeight="1">
      <c r="A477" s="7"/>
      <c r="B477" s="7"/>
      <c r="C477" s="7"/>
      <c r="F477" s="7"/>
      <c r="G477" s="6"/>
      <c r="K477" s="5"/>
      <c r="N477" s="6"/>
      <c r="Y477" s="5"/>
      <c r="Z477" s="6"/>
      <c r="AA477" s="7"/>
      <c r="AN477" s="5"/>
    </row>
    <row r="478" ht="15.75" customHeight="1">
      <c r="A478" s="7"/>
      <c r="B478" s="7"/>
      <c r="C478" s="7"/>
      <c r="F478" s="7"/>
      <c r="G478" s="6"/>
      <c r="K478" s="5"/>
      <c r="N478" s="6"/>
      <c r="Y478" s="5"/>
      <c r="Z478" s="6"/>
      <c r="AA478" s="7"/>
      <c r="AN478" s="5"/>
    </row>
    <row r="479" ht="15.75" customHeight="1">
      <c r="A479" s="7"/>
      <c r="B479" s="7"/>
      <c r="C479" s="7"/>
      <c r="F479" s="7"/>
      <c r="G479" s="6"/>
      <c r="K479" s="5"/>
      <c r="N479" s="6"/>
      <c r="Y479" s="5"/>
      <c r="Z479" s="6"/>
      <c r="AA479" s="7"/>
      <c r="AN479" s="5"/>
    </row>
    <row r="480" ht="15.75" customHeight="1">
      <c r="A480" s="7"/>
      <c r="B480" s="7"/>
      <c r="C480" s="7"/>
      <c r="F480" s="7"/>
      <c r="G480" s="6"/>
      <c r="K480" s="5"/>
      <c r="N480" s="6"/>
      <c r="Y480" s="5"/>
      <c r="Z480" s="6"/>
      <c r="AA480" s="7"/>
      <c r="AN480" s="5"/>
    </row>
    <row r="481" ht="15.75" customHeight="1">
      <c r="A481" s="7"/>
      <c r="B481" s="7"/>
      <c r="C481" s="7"/>
      <c r="F481" s="7"/>
      <c r="G481" s="6"/>
      <c r="K481" s="5"/>
      <c r="N481" s="6"/>
      <c r="Y481" s="5"/>
      <c r="Z481" s="6"/>
      <c r="AA481" s="7"/>
      <c r="AN481" s="5"/>
    </row>
    <row r="482" ht="15.75" customHeight="1">
      <c r="A482" s="7"/>
      <c r="B482" s="7"/>
      <c r="C482" s="7"/>
      <c r="F482" s="7"/>
      <c r="G482" s="6"/>
      <c r="K482" s="5"/>
      <c r="N482" s="6"/>
      <c r="Y482" s="5"/>
      <c r="Z482" s="6"/>
      <c r="AA482" s="7"/>
      <c r="AN482" s="5"/>
    </row>
    <row r="483" ht="15.75" customHeight="1">
      <c r="A483" s="7"/>
      <c r="B483" s="7"/>
      <c r="C483" s="7"/>
      <c r="F483" s="7"/>
      <c r="G483" s="6"/>
      <c r="K483" s="5"/>
      <c r="N483" s="6"/>
      <c r="Y483" s="5"/>
      <c r="Z483" s="6"/>
      <c r="AA483" s="7"/>
      <c r="AN483" s="5"/>
    </row>
    <row r="484" ht="15.75" customHeight="1">
      <c r="A484" s="7"/>
      <c r="B484" s="7"/>
      <c r="C484" s="7"/>
      <c r="F484" s="7"/>
      <c r="G484" s="6"/>
      <c r="K484" s="5"/>
      <c r="N484" s="6"/>
      <c r="Y484" s="5"/>
      <c r="Z484" s="6"/>
      <c r="AA484" s="7"/>
      <c r="AN484" s="5"/>
    </row>
    <row r="485" ht="15.75" customHeight="1">
      <c r="A485" s="7"/>
      <c r="B485" s="7"/>
      <c r="C485" s="7"/>
      <c r="F485" s="7"/>
      <c r="G485" s="6"/>
      <c r="K485" s="5"/>
      <c r="N485" s="6"/>
      <c r="Y485" s="5"/>
      <c r="Z485" s="6"/>
      <c r="AA485" s="7"/>
      <c r="AN485" s="5"/>
    </row>
    <row r="486" ht="15.75" customHeight="1">
      <c r="A486" s="7"/>
      <c r="B486" s="7"/>
      <c r="C486" s="7"/>
      <c r="F486" s="7"/>
      <c r="G486" s="6"/>
      <c r="K486" s="5"/>
      <c r="N486" s="6"/>
      <c r="Y486" s="5"/>
      <c r="Z486" s="6"/>
      <c r="AA486" s="7"/>
      <c r="AN486" s="5"/>
    </row>
    <row r="487" ht="15.75" customHeight="1">
      <c r="A487" s="7"/>
      <c r="B487" s="7"/>
      <c r="C487" s="7"/>
      <c r="F487" s="7"/>
      <c r="G487" s="6"/>
      <c r="K487" s="5"/>
      <c r="N487" s="6"/>
      <c r="Y487" s="5"/>
      <c r="Z487" s="6"/>
      <c r="AA487" s="7"/>
      <c r="AN487" s="5"/>
    </row>
    <row r="488" ht="15.75" customHeight="1">
      <c r="A488" s="7"/>
      <c r="B488" s="7"/>
      <c r="C488" s="7"/>
      <c r="F488" s="7"/>
      <c r="G488" s="6"/>
      <c r="K488" s="5"/>
      <c r="N488" s="6"/>
      <c r="Y488" s="5"/>
      <c r="Z488" s="6"/>
      <c r="AA488" s="7"/>
      <c r="AN488" s="5"/>
    </row>
    <row r="489" ht="15.75" customHeight="1">
      <c r="A489" s="7"/>
      <c r="B489" s="7"/>
      <c r="C489" s="7"/>
      <c r="F489" s="7"/>
      <c r="G489" s="6"/>
      <c r="K489" s="5"/>
      <c r="N489" s="6"/>
      <c r="Y489" s="5"/>
      <c r="Z489" s="6"/>
      <c r="AA489" s="7"/>
      <c r="AN489" s="5"/>
    </row>
    <row r="490" ht="15.75" customHeight="1">
      <c r="A490" s="7"/>
      <c r="B490" s="7"/>
      <c r="C490" s="7"/>
      <c r="F490" s="7"/>
      <c r="G490" s="6"/>
      <c r="K490" s="5"/>
      <c r="N490" s="6"/>
      <c r="Y490" s="5"/>
      <c r="Z490" s="6"/>
      <c r="AA490" s="7"/>
      <c r="AN490" s="5"/>
    </row>
    <row r="491" ht="15.75" customHeight="1">
      <c r="A491" s="7"/>
      <c r="B491" s="7"/>
      <c r="C491" s="7"/>
      <c r="F491" s="7"/>
      <c r="G491" s="6"/>
      <c r="K491" s="5"/>
      <c r="N491" s="6"/>
      <c r="Y491" s="5"/>
      <c r="Z491" s="6"/>
      <c r="AA491" s="7"/>
      <c r="AN491" s="5"/>
    </row>
    <row r="492" ht="15.75" customHeight="1">
      <c r="A492" s="7"/>
      <c r="B492" s="7"/>
      <c r="C492" s="7"/>
      <c r="F492" s="7"/>
      <c r="G492" s="6"/>
      <c r="K492" s="5"/>
      <c r="N492" s="6"/>
      <c r="Y492" s="5"/>
      <c r="Z492" s="6"/>
      <c r="AA492" s="7"/>
      <c r="AN492" s="5"/>
    </row>
    <row r="493" ht="15.75" customHeight="1">
      <c r="A493" s="7"/>
      <c r="B493" s="7"/>
      <c r="C493" s="7"/>
      <c r="F493" s="7"/>
      <c r="G493" s="6"/>
      <c r="K493" s="5"/>
      <c r="N493" s="6"/>
      <c r="Y493" s="5"/>
      <c r="Z493" s="6"/>
      <c r="AA493" s="7"/>
      <c r="AN493" s="5"/>
    </row>
    <row r="494" ht="15.75" customHeight="1">
      <c r="A494" s="7"/>
      <c r="B494" s="7"/>
      <c r="C494" s="7"/>
      <c r="F494" s="7"/>
      <c r="G494" s="6"/>
      <c r="K494" s="5"/>
      <c r="N494" s="6"/>
      <c r="Y494" s="5"/>
      <c r="Z494" s="6"/>
      <c r="AA494" s="7"/>
      <c r="AN494" s="5"/>
    </row>
    <row r="495" ht="15.75" customHeight="1">
      <c r="A495" s="7"/>
      <c r="B495" s="7"/>
      <c r="C495" s="7"/>
      <c r="F495" s="7"/>
      <c r="G495" s="6"/>
      <c r="K495" s="5"/>
      <c r="N495" s="6"/>
      <c r="Y495" s="5"/>
      <c r="Z495" s="6"/>
      <c r="AA495" s="7"/>
      <c r="AN495" s="5"/>
    </row>
    <row r="496" ht="15.75" customHeight="1">
      <c r="A496" s="7"/>
      <c r="B496" s="7"/>
      <c r="C496" s="7"/>
      <c r="F496" s="7"/>
      <c r="G496" s="6"/>
      <c r="K496" s="5"/>
      <c r="N496" s="6"/>
      <c r="Y496" s="5"/>
      <c r="Z496" s="6"/>
      <c r="AA496" s="7"/>
      <c r="AN496" s="5"/>
    </row>
    <row r="497" ht="15.75" customHeight="1">
      <c r="A497" s="7"/>
      <c r="B497" s="7"/>
      <c r="C497" s="7"/>
      <c r="F497" s="7"/>
      <c r="G497" s="6"/>
      <c r="K497" s="5"/>
      <c r="N497" s="6"/>
      <c r="Y497" s="5"/>
      <c r="Z497" s="6"/>
      <c r="AA497" s="7"/>
      <c r="AN497" s="5"/>
    </row>
    <row r="498" ht="15.75" customHeight="1">
      <c r="A498" s="7"/>
      <c r="B498" s="7"/>
      <c r="C498" s="7"/>
      <c r="F498" s="7"/>
      <c r="G498" s="6"/>
      <c r="K498" s="5"/>
      <c r="N498" s="6"/>
      <c r="Y498" s="5"/>
      <c r="Z498" s="6"/>
      <c r="AA498" s="7"/>
      <c r="AN498" s="5"/>
    </row>
    <row r="499" ht="15.75" customHeight="1">
      <c r="A499" s="7"/>
      <c r="B499" s="7"/>
      <c r="C499" s="7"/>
      <c r="F499" s="7"/>
      <c r="G499" s="6"/>
      <c r="K499" s="5"/>
      <c r="N499" s="6"/>
      <c r="Y499" s="5"/>
      <c r="Z499" s="6"/>
      <c r="AA499" s="7"/>
      <c r="AN499" s="5"/>
    </row>
    <row r="500" ht="15.75" customHeight="1">
      <c r="A500" s="7"/>
      <c r="B500" s="7"/>
      <c r="C500" s="7"/>
      <c r="F500" s="7"/>
      <c r="G500" s="6"/>
      <c r="K500" s="5"/>
      <c r="N500" s="6"/>
      <c r="Y500" s="5"/>
      <c r="Z500" s="6"/>
      <c r="AA500" s="7"/>
      <c r="AN500" s="5"/>
    </row>
    <row r="501" ht="15.75" customHeight="1">
      <c r="A501" s="7"/>
      <c r="B501" s="7"/>
      <c r="C501" s="7"/>
      <c r="F501" s="7"/>
      <c r="G501" s="6"/>
      <c r="K501" s="5"/>
      <c r="N501" s="6"/>
      <c r="Y501" s="5"/>
      <c r="Z501" s="6"/>
      <c r="AA501" s="7"/>
      <c r="AN501" s="5"/>
    </row>
    <row r="502" ht="15.75" customHeight="1">
      <c r="A502" s="7"/>
      <c r="B502" s="7"/>
      <c r="C502" s="7"/>
      <c r="F502" s="7"/>
      <c r="G502" s="6"/>
      <c r="K502" s="5"/>
      <c r="N502" s="6"/>
      <c r="Y502" s="5"/>
      <c r="Z502" s="6"/>
      <c r="AA502" s="7"/>
      <c r="AN502" s="5"/>
    </row>
    <row r="503" ht="15.75" customHeight="1">
      <c r="A503" s="7"/>
      <c r="B503" s="7"/>
      <c r="C503" s="7"/>
      <c r="F503" s="7"/>
      <c r="G503" s="6"/>
      <c r="K503" s="5"/>
      <c r="N503" s="6"/>
      <c r="Y503" s="5"/>
      <c r="Z503" s="6"/>
      <c r="AA503" s="7"/>
      <c r="AN503" s="5"/>
    </row>
    <row r="504" ht="15.75" customHeight="1">
      <c r="A504" s="7"/>
      <c r="B504" s="7"/>
      <c r="C504" s="7"/>
      <c r="F504" s="7"/>
      <c r="G504" s="6"/>
      <c r="K504" s="5"/>
      <c r="N504" s="6"/>
      <c r="Y504" s="5"/>
      <c r="Z504" s="6"/>
      <c r="AA504" s="7"/>
      <c r="AN504" s="5"/>
    </row>
    <row r="505" ht="15.75" customHeight="1">
      <c r="A505" s="7"/>
      <c r="B505" s="7"/>
      <c r="C505" s="7"/>
      <c r="F505" s="7"/>
      <c r="G505" s="6"/>
      <c r="K505" s="5"/>
      <c r="N505" s="6"/>
      <c r="Y505" s="5"/>
      <c r="Z505" s="6"/>
      <c r="AA505" s="7"/>
      <c r="AN505" s="5"/>
    </row>
    <row r="506" ht="15.75" customHeight="1">
      <c r="A506" s="7"/>
      <c r="B506" s="7"/>
      <c r="C506" s="7"/>
      <c r="F506" s="7"/>
      <c r="G506" s="6"/>
      <c r="K506" s="5"/>
      <c r="N506" s="6"/>
      <c r="Y506" s="5"/>
      <c r="Z506" s="6"/>
      <c r="AA506" s="7"/>
      <c r="AN506" s="5"/>
    </row>
    <row r="507" ht="15.75" customHeight="1">
      <c r="A507" s="7"/>
      <c r="B507" s="7"/>
      <c r="C507" s="7"/>
      <c r="F507" s="7"/>
      <c r="G507" s="6"/>
      <c r="K507" s="5"/>
      <c r="N507" s="6"/>
      <c r="Y507" s="5"/>
      <c r="Z507" s="6"/>
      <c r="AA507" s="7"/>
      <c r="AN507" s="5"/>
    </row>
    <row r="508" ht="15.75" customHeight="1">
      <c r="A508" s="7"/>
      <c r="B508" s="7"/>
      <c r="C508" s="7"/>
      <c r="F508" s="7"/>
      <c r="G508" s="6"/>
      <c r="K508" s="5"/>
      <c r="N508" s="6"/>
      <c r="Y508" s="5"/>
      <c r="Z508" s="6"/>
      <c r="AA508" s="7"/>
      <c r="AN508" s="5"/>
    </row>
    <row r="509" ht="15.75" customHeight="1">
      <c r="A509" s="7"/>
      <c r="B509" s="7"/>
      <c r="C509" s="7"/>
      <c r="F509" s="7"/>
      <c r="G509" s="6"/>
      <c r="K509" s="5"/>
      <c r="N509" s="6"/>
      <c r="Y509" s="5"/>
      <c r="Z509" s="6"/>
      <c r="AA509" s="7"/>
      <c r="AN509" s="5"/>
    </row>
    <row r="510" ht="15.75" customHeight="1">
      <c r="A510" s="7"/>
      <c r="B510" s="7"/>
      <c r="C510" s="7"/>
      <c r="F510" s="7"/>
      <c r="G510" s="6"/>
      <c r="K510" s="5"/>
      <c r="N510" s="6"/>
      <c r="Y510" s="5"/>
      <c r="Z510" s="6"/>
      <c r="AA510" s="7"/>
      <c r="AN510" s="5"/>
    </row>
    <row r="511" ht="15.75" customHeight="1">
      <c r="A511" s="7"/>
      <c r="B511" s="7"/>
      <c r="C511" s="7"/>
      <c r="F511" s="7"/>
      <c r="G511" s="6"/>
      <c r="K511" s="5"/>
      <c r="N511" s="6"/>
      <c r="Y511" s="5"/>
      <c r="Z511" s="6"/>
      <c r="AA511" s="7"/>
      <c r="AN511" s="5"/>
    </row>
    <row r="512" ht="15.75" customHeight="1">
      <c r="A512" s="7"/>
      <c r="B512" s="7"/>
      <c r="C512" s="7"/>
      <c r="F512" s="7"/>
      <c r="G512" s="6"/>
      <c r="K512" s="5"/>
      <c r="N512" s="6"/>
      <c r="Y512" s="5"/>
      <c r="Z512" s="6"/>
      <c r="AA512" s="7"/>
      <c r="AN512" s="5"/>
    </row>
    <row r="513" ht="15.75" customHeight="1">
      <c r="A513" s="7"/>
      <c r="B513" s="7"/>
      <c r="C513" s="7"/>
      <c r="F513" s="7"/>
      <c r="G513" s="6"/>
      <c r="K513" s="5"/>
      <c r="N513" s="6"/>
      <c r="Y513" s="5"/>
      <c r="Z513" s="6"/>
      <c r="AA513" s="7"/>
      <c r="AN513" s="5"/>
    </row>
    <row r="514" ht="15.75" customHeight="1">
      <c r="A514" s="7"/>
      <c r="B514" s="7"/>
      <c r="C514" s="7"/>
      <c r="F514" s="7"/>
      <c r="G514" s="6"/>
      <c r="K514" s="5"/>
      <c r="N514" s="6"/>
      <c r="Y514" s="5"/>
      <c r="Z514" s="6"/>
      <c r="AA514" s="7"/>
      <c r="AN514" s="5"/>
    </row>
    <row r="515" ht="15.75" customHeight="1">
      <c r="A515" s="7"/>
      <c r="B515" s="7"/>
      <c r="C515" s="7"/>
      <c r="F515" s="7"/>
      <c r="G515" s="6"/>
      <c r="K515" s="5"/>
      <c r="N515" s="6"/>
      <c r="Y515" s="5"/>
      <c r="Z515" s="6"/>
      <c r="AA515" s="7"/>
      <c r="AN515" s="5"/>
    </row>
    <row r="516" ht="15.75" customHeight="1">
      <c r="A516" s="7"/>
      <c r="B516" s="7"/>
      <c r="C516" s="7"/>
      <c r="F516" s="7"/>
      <c r="G516" s="6"/>
      <c r="K516" s="5"/>
      <c r="N516" s="6"/>
      <c r="Y516" s="5"/>
      <c r="Z516" s="6"/>
      <c r="AA516" s="7"/>
      <c r="AN516" s="5"/>
    </row>
    <row r="517" ht="15.75" customHeight="1">
      <c r="A517" s="7"/>
      <c r="B517" s="7"/>
      <c r="C517" s="7"/>
      <c r="F517" s="7"/>
      <c r="G517" s="6"/>
      <c r="K517" s="5"/>
      <c r="N517" s="6"/>
      <c r="Y517" s="5"/>
      <c r="Z517" s="6"/>
      <c r="AA517" s="7"/>
      <c r="AN517" s="5"/>
    </row>
    <row r="518" ht="15.75" customHeight="1">
      <c r="A518" s="7"/>
      <c r="B518" s="7"/>
      <c r="C518" s="7"/>
      <c r="F518" s="7"/>
      <c r="G518" s="6"/>
      <c r="K518" s="5"/>
      <c r="N518" s="6"/>
      <c r="Y518" s="5"/>
      <c r="Z518" s="6"/>
      <c r="AA518" s="7"/>
      <c r="AN518" s="5"/>
    </row>
    <row r="519" ht="15.75" customHeight="1">
      <c r="A519" s="7"/>
      <c r="B519" s="7"/>
      <c r="C519" s="7"/>
      <c r="F519" s="7"/>
      <c r="G519" s="6"/>
      <c r="K519" s="5"/>
      <c r="N519" s="6"/>
      <c r="Y519" s="5"/>
      <c r="Z519" s="6"/>
      <c r="AA519" s="7"/>
      <c r="AN519" s="5"/>
    </row>
    <row r="520" ht="15.75" customHeight="1">
      <c r="A520" s="7"/>
      <c r="B520" s="7"/>
      <c r="C520" s="7"/>
      <c r="F520" s="7"/>
      <c r="G520" s="6"/>
      <c r="K520" s="5"/>
      <c r="N520" s="6"/>
      <c r="Y520" s="5"/>
      <c r="Z520" s="6"/>
      <c r="AA520" s="7"/>
      <c r="AN520" s="5"/>
    </row>
    <row r="521" ht="15.75" customHeight="1">
      <c r="A521" s="7"/>
      <c r="B521" s="7"/>
      <c r="C521" s="7"/>
      <c r="F521" s="7"/>
      <c r="G521" s="6"/>
      <c r="K521" s="5"/>
      <c r="N521" s="6"/>
      <c r="Y521" s="5"/>
      <c r="Z521" s="6"/>
      <c r="AA521" s="7"/>
      <c r="AN521" s="5"/>
    </row>
    <row r="522" ht="15.75" customHeight="1">
      <c r="A522" s="7"/>
      <c r="B522" s="7"/>
      <c r="C522" s="7"/>
      <c r="F522" s="7"/>
      <c r="G522" s="6"/>
      <c r="K522" s="5"/>
      <c r="N522" s="6"/>
      <c r="Y522" s="5"/>
      <c r="Z522" s="6"/>
      <c r="AA522" s="7"/>
      <c r="AN522" s="5"/>
    </row>
    <row r="523" ht="15.75" customHeight="1">
      <c r="A523" s="7"/>
      <c r="B523" s="7"/>
      <c r="C523" s="7"/>
      <c r="F523" s="7"/>
      <c r="G523" s="6"/>
      <c r="K523" s="5"/>
      <c r="N523" s="6"/>
      <c r="Y523" s="5"/>
      <c r="Z523" s="6"/>
      <c r="AA523" s="7"/>
      <c r="AN523" s="5"/>
    </row>
    <row r="524" ht="15.75" customHeight="1">
      <c r="A524" s="7"/>
      <c r="B524" s="7"/>
      <c r="C524" s="7"/>
      <c r="F524" s="7"/>
      <c r="G524" s="6"/>
      <c r="K524" s="5"/>
      <c r="N524" s="6"/>
      <c r="Y524" s="5"/>
      <c r="Z524" s="6"/>
      <c r="AA524" s="7"/>
      <c r="AN524" s="5"/>
    </row>
    <row r="525" ht="15.75" customHeight="1">
      <c r="A525" s="7"/>
      <c r="B525" s="7"/>
      <c r="C525" s="7"/>
      <c r="F525" s="7"/>
      <c r="G525" s="6"/>
      <c r="K525" s="5"/>
      <c r="N525" s="6"/>
      <c r="Y525" s="5"/>
      <c r="Z525" s="6"/>
      <c r="AA525" s="7"/>
      <c r="AN525" s="5"/>
    </row>
    <row r="526" ht="15.75" customHeight="1">
      <c r="A526" s="7"/>
      <c r="B526" s="7"/>
      <c r="C526" s="7"/>
      <c r="F526" s="7"/>
      <c r="G526" s="6"/>
      <c r="K526" s="5"/>
      <c r="N526" s="6"/>
      <c r="Y526" s="5"/>
      <c r="Z526" s="6"/>
      <c r="AA526" s="7"/>
      <c r="AN526" s="5"/>
    </row>
    <row r="527" ht="15.75" customHeight="1">
      <c r="A527" s="7"/>
      <c r="B527" s="7"/>
      <c r="C527" s="7"/>
      <c r="F527" s="7"/>
      <c r="G527" s="6"/>
      <c r="K527" s="5"/>
      <c r="N527" s="6"/>
      <c r="Y527" s="5"/>
      <c r="Z527" s="6"/>
      <c r="AA527" s="7"/>
      <c r="AN527" s="5"/>
    </row>
    <row r="528" ht="15.75" customHeight="1">
      <c r="A528" s="7"/>
      <c r="B528" s="7"/>
      <c r="C528" s="7"/>
      <c r="F528" s="7"/>
      <c r="G528" s="6"/>
      <c r="K528" s="5"/>
      <c r="N528" s="6"/>
      <c r="Y528" s="5"/>
      <c r="Z528" s="6"/>
      <c r="AA528" s="7"/>
      <c r="AN528" s="5"/>
    </row>
    <row r="529" ht="15.75" customHeight="1">
      <c r="A529" s="7"/>
      <c r="B529" s="7"/>
      <c r="C529" s="7"/>
      <c r="F529" s="7"/>
      <c r="G529" s="6"/>
      <c r="K529" s="5"/>
      <c r="N529" s="6"/>
      <c r="Y529" s="5"/>
      <c r="Z529" s="6"/>
      <c r="AA529" s="7"/>
      <c r="AN529" s="5"/>
    </row>
    <row r="530" ht="15.75" customHeight="1">
      <c r="A530" s="7"/>
      <c r="B530" s="7"/>
      <c r="C530" s="7"/>
      <c r="F530" s="7"/>
      <c r="G530" s="6"/>
      <c r="K530" s="5"/>
      <c r="N530" s="6"/>
      <c r="Y530" s="5"/>
      <c r="Z530" s="6"/>
      <c r="AA530" s="7"/>
      <c r="AN530" s="5"/>
    </row>
    <row r="531" ht="15.75" customHeight="1">
      <c r="A531" s="7"/>
      <c r="B531" s="7"/>
      <c r="C531" s="7"/>
      <c r="F531" s="7"/>
      <c r="G531" s="6"/>
      <c r="K531" s="5"/>
      <c r="N531" s="6"/>
      <c r="Y531" s="5"/>
      <c r="Z531" s="6"/>
      <c r="AA531" s="7"/>
      <c r="AN531" s="5"/>
    </row>
    <row r="532" ht="15.75" customHeight="1">
      <c r="A532" s="7"/>
      <c r="B532" s="7"/>
      <c r="C532" s="7"/>
      <c r="F532" s="7"/>
      <c r="G532" s="6"/>
      <c r="K532" s="5"/>
      <c r="N532" s="6"/>
      <c r="Y532" s="5"/>
      <c r="Z532" s="6"/>
      <c r="AA532" s="7"/>
      <c r="AN532" s="5"/>
    </row>
    <row r="533" ht="15.75" customHeight="1">
      <c r="A533" s="7"/>
      <c r="B533" s="7"/>
      <c r="C533" s="7"/>
      <c r="F533" s="7"/>
      <c r="G533" s="6"/>
      <c r="K533" s="5"/>
      <c r="N533" s="6"/>
      <c r="Y533" s="5"/>
      <c r="Z533" s="6"/>
      <c r="AA533" s="7"/>
      <c r="AN533" s="5"/>
    </row>
    <row r="534" ht="15.75" customHeight="1">
      <c r="A534" s="7"/>
      <c r="B534" s="7"/>
      <c r="C534" s="7"/>
      <c r="F534" s="7"/>
      <c r="G534" s="6"/>
      <c r="K534" s="5"/>
      <c r="N534" s="6"/>
      <c r="Y534" s="5"/>
      <c r="Z534" s="6"/>
      <c r="AA534" s="7"/>
      <c r="AN534" s="5"/>
    </row>
    <row r="535" ht="15.75" customHeight="1">
      <c r="A535" s="7"/>
      <c r="B535" s="7"/>
      <c r="C535" s="7"/>
      <c r="F535" s="7"/>
      <c r="G535" s="6"/>
      <c r="K535" s="5"/>
      <c r="N535" s="6"/>
      <c r="Y535" s="5"/>
      <c r="Z535" s="6"/>
      <c r="AA535" s="7"/>
      <c r="AN535" s="5"/>
    </row>
    <row r="536" ht="15.75" customHeight="1">
      <c r="A536" s="7"/>
      <c r="B536" s="7"/>
      <c r="C536" s="7"/>
      <c r="F536" s="7"/>
      <c r="G536" s="6"/>
      <c r="K536" s="5"/>
      <c r="N536" s="6"/>
      <c r="Y536" s="5"/>
      <c r="Z536" s="6"/>
      <c r="AA536" s="7"/>
      <c r="AN536" s="5"/>
    </row>
    <row r="537" ht="15.75" customHeight="1">
      <c r="A537" s="7"/>
      <c r="B537" s="7"/>
      <c r="C537" s="7"/>
      <c r="F537" s="7"/>
      <c r="G537" s="6"/>
      <c r="K537" s="5"/>
      <c r="N537" s="6"/>
      <c r="Y537" s="5"/>
      <c r="Z537" s="6"/>
      <c r="AA537" s="7"/>
      <c r="AN537" s="5"/>
    </row>
    <row r="538" ht="15.75" customHeight="1">
      <c r="A538" s="7"/>
      <c r="B538" s="7"/>
      <c r="C538" s="7"/>
      <c r="F538" s="7"/>
      <c r="G538" s="6"/>
      <c r="K538" s="5"/>
      <c r="N538" s="6"/>
      <c r="Y538" s="5"/>
      <c r="Z538" s="6"/>
      <c r="AA538" s="7"/>
      <c r="AN538" s="5"/>
    </row>
    <row r="539" ht="15.75" customHeight="1">
      <c r="A539" s="7"/>
      <c r="B539" s="7"/>
      <c r="C539" s="7"/>
      <c r="F539" s="7"/>
      <c r="G539" s="6"/>
      <c r="K539" s="5"/>
      <c r="N539" s="6"/>
      <c r="Y539" s="5"/>
      <c r="Z539" s="6"/>
      <c r="AA539" s="7"/>
      <c r="AN539" s="5"/>
    </row>
    <row r="540" ht="15.75" customHeight="1">
      <c r="A540" s="7"/>
      <c r="B540" s="7"/>
      <c r="C540" s="7"/>
      <c r="F540" s="7"/>
      <c r="G540" s="6"/>
      <c r="K540" s="5"/>
      <c r="N540" s="6"/>
      <c r="Y540" s="5"/>
      <c r="Z540" s="6"/>
      <c r="AA540" s="7"/>
      <c r="AN540" s="5"/>
    </row>
    <row r="541" ht="15.75" customHeight="1">
      <c r="A541" s="7"/>
      <c r="B541" s="7"/>
      <c r="C541" s="7"/>
      <c r="F541" s="7"/>
      <c r="G541" s="6"/>
      <c r="K541" s="5"/>
      <c r="N541" s="6"/>
      <c r="Y541" s="5"/>
      <c r="Z541" s="6"/>
      <c r="AA541" s="7"/>
      <c r="AN541" s="5"/>
    </row>
    <row r="542" ht="15.75" customHeight="1">
      <c r="A542" s="7"/>
      <c r="B542" s="7"/>
      <c r="C542" s="7"/>
      <c r="F542" s="7"/>
      <c r="G542" s="6"/>
      <c r="K542" s="5"/>
      <c r="N542" s="6"/>
      <c r="Y542" s="5"/>
      <c r="Z542" s="6"/>
      <c r="AA542" s="7"/>
      <c r="AN542" s="5"/>
    </row>
    <row r="543" ht="15.75" customHeight="1">
      <c r="A543" s="7"/>
      <c r="B543" s="7"/>
      <c r="C543" s="7"/>
      <c r="F543" s="7"/>
      <c r="G543" s="6"/>
      <c r="K543" s="5"/>
      <c r="N543" s="6"/>
      <c r="Y543" s="5"/>
      <c r="Z543" s="6"/>
      <c r="AA543" s="7"/>
      <c r="AN543" s="5"/>
    </row>
    <row r="544" ht="15.75" customHeight="1">
      <c r="A544" s="7"/>
      <c r="B544" s="7"/>
      <c r="C544" s="7"/>
      <c r="F544" s="7"/>
      <c r="G544" s="6"/>
      <c r="K544" s="5"/>
      <c r="N544" s="6"/>
      <c r="Y544" s="5"/>
      <c r="Z544" s="6"/>
      <c r="AA544" s="7"/>
      <c r="AN544" s="5"/>
    </row>
    <row r="545" ht="15.75" customHeight="1">
      <c r="A545" s="7"/>
      <c r="B545" s="7"/>
      <c r="C545" s="7"/>
      <c r="F545" s="7"/>
      <c r="G545" s="6"/>
      <c r="K545" s="5"/>
      <c r="N545" s="6"/>
      <c r="Y545" s="5"/>
      <c r="Z545" s="6"/>
      <c r="AA545" s="7"/>
      <c r="AN545" s="5"/>
    </row>
    <row r="546" ht="15.75" customHeight="1">
      <c r="A546" s="7"/>
      <c r="B546" s="7"/>
      <c r="C546" s="7"/>
      <c r="F546" s="7"/>
      <c r="G546" s="6"/>
      <c r="K546" s="5"/>
      <c r="N546" s="6"/>
      <c r="Y546" s="5"/>
      <c r="Z546" s="6"/>
      <c r="AA546" s="7"/>
      <c r="AN546" s="5"/>
    </row>
    <row r="547" ht="15.75" customHeight="1">
      <c r="A547" s="7"/>
      <c r="B547" s="7"/>
      <c r="C547" s="7"/>
      <c r="F547" s="7"/>
      <c r="G547" s="6"/>
      <c r="K547" s="5"/>
      <c r="N547" s="6"/>
      <c r="Y547" s="5"/>
      <c r="Z547" s="6"/>
      <c r="AA547" s="7"/>
      <c r="AN547" s="5"/>
    </row>
    <row r="548" ht="15.75" customHeight="1">
      <c r="A548" s="7"/>
      <c r="B548" s="7"/>
      <c r="C548" s="7"/>
      <c r="F548" s="7"/>
      <c r="G548" s="6"/>
      <c r="K548" s="5"/>
      <c r="N548" s="6"/>
      <c r="Y548" s="5"/>
      <c r="Z548" s="6"/>
      <c r="AA548" s="7"/>
      <c r="AN548" s="5"/>
    </row>
    <row r="549" ht="15.75" customHeight="1">
      <c r="A549" s="7"/>
      <c r="B549" s="7"/>
      <c r="C549" s="7"/>
      <c r="F549" s="7"/>
      <c r="G549" s="6"/>
      <c r="K549" s="5"/>
      <c r="N549" s="6"/>
      <c r="Y549" s="5"/>
      <c r="Z549" s="6"/>
      <c r="AA549" s="7"/>
      <c r="AN549" s="5"/>
    </row>
    <row r="550" ht="15.75" customHeight="1">
      <c r="A550" s="7"/>
      <c r="B550" s="7"/>
      <c r="C550" s="7"/>
      <c r="F550" s="7"/>
      <c r="G550" s="6"/>
      <c r="K550" s="5"/>
      <c r="N550" s="6"/>
      <c r="Y550" s="5"/>
      <c r="Z550" s="6"/>
      <c r="AA550" s="7"/>
      <c r="AN550" s="5"/>
    </row>
    <row r="551" ht="15.75" customHeight="1">
      <c r="A551" s="7"/>
      <c r="B551" s="7"/>
      <c r="C551" s="7"/>
      <c r="F551" s="7"/>
      <c r="G551" s="6"/>
      <c r="K551" s="5"/>
      <c r="N551" s="6"/>
      <c r="Y551" s="5"/>
      <c r="Z551" s="6"/>
      <c r="AA551" s="7"/>
      <c r="AN551" s="5"/>
    </row>
    <row r="552" ht="15.75" customHeight="1">
      <c r="A552" s="7"/>
      <c r="B552" s="7"/>
      <c r="C552" s="7"/>
      <c r="F552" s="7"/>
      <c r="G552" s="6"/>
      <c r="K552" s="5"/>
      <c r="N552" s="6"/>
      <c r="Y552" s="5"/>
      <c r="Z552" s="6"/>
      <c r="AA552" s="7"/>
      <c r="AN552" s="5"/>
    </row>
    <row r="553" ht="15.75" customHeight="1">
      <c r="A553" s="7"/>
      <c r="B553" s="7"/>
      <c r="C553" s="7"/>
      <c r="F553" s="7"/>
      <c r="G553" s="6"/>
      <c r="K553" s="5"/>
      <c r="N553" s="6"/>
      <c r="Y553" s="5"/>
      <c r="Z553" s="6"/>
      <c r="AA553" s="7"/>
      <c r="AN553" s="5"/>
    </row>
    <row r="554" ht="15.75" customHeight="1">
      <c r="A554" s="7"/>
      <c r="B554" s="7"/>
      <c r="C554" s="7"/>
      <c r="F554" s="7"/>
      <c r="G554" s="6"/>
      <c r="K554" s="5"/>
      <c r="N554" s="6"/>
      <c r="Y554" s="5"/>
      <c r="Z554" s="6"/>
      <c r="AA554" s="7"/>
      <c r="AN554" s="5"/>
    </row>
    <row r="555" ht="15.75" customHeight="1">
      <c r="A555" s="7"/>
      <c r="B555" s="7"/>
      <c r="C555" s="7"/>
      <c r="F555" s="7"/>
      <c r="G555" s="6"/>
      <c r="K555" s="5"/>
      <c r="N555" s="6"/>
      <c r="Y555" s="5"/>
      <c r="Z555" s="6"/>
      <c r="AA555" s="7"/>
      <c r="AN555" s="5"/>
    </row>
    <row r="556" ht="15.75" customHeight="1">
      <c r="A556" s="7"/>
      <c r="B556" s="7"/>
      <c r="C556" s="7"/>
      <c r="F556" s="7"/>
      <c r="G556" s="6"/>
      <c r="K556" s="5"/>
      <c r="N556" s="6"/>
      <c r="Y556" s="5"/>
      <c r="Z556" s="6"/>
      <c r="AA556" s="7"/>
      <c r="AN556" s="5"/>
    </row>
    <row r="557" ht="15.75" customHeight="1">
      <c r="A557" s="7"/>
      <c r="B557" s="7"/>
      <c r="C557" s="7"/>
      <c r="F557" s="7"/>
      <c r="G557" s="6"/>
      <c r="K557" s="5"/>
      <c r="N557" s="6"/>
      <c r="Y557" s="5"/>
      <c r="Z557" s="6"/>
      <c r="AA557" s="7"/>
      <c r="AN557" s="5"/>
    </row>
    <row r="558" ht="15.75" customHeight="1">
      <c r="A558" s="7"/>
      <c r="B558" s="7"/>
      <c r="C558" s="7"/>
      <c r="F558" s="7"/>
      <c r="G558" s="6"/>
      <c r="K558" s="5"/>
      <c r="N558" s="6"/>
      <c r="Y558" s="5"/>
      <c r="Z558" s="6"/>
      <c r="AA558" s="7"/>
      <c r="AN558" s="5"/>
    </row>
    <row r="559" ht="15.75" customHeight="1">
      <c r="A559" s="7"/>
      <c r="B559" s="7"/>
      <c r="C559" s="7"/>
      <c r="F559" s="7"/>
      <c r="G559" s="6"/>
      <c r="K559" s="5"/>
      <c r="N559" s="6"/>
      <c r="Y559" s="5"/>
      <c r="Z559" s="6"/>
      <c r="AA559" s="7"/>
      <c r="AN559" s="5"/>
    </row>
    <row r="560" ht="15.75" customHeight="1">
      <c r="A560" s="7"/>
      <c r="B560" s="7"/>
      <c r="C560" s="7"/>
      <c r="F560" s="7"/>
      <c r="G560" s="6"/>
      <c r="K560" s="5"/>
      <c r="N560" s="6"/>
      <c r="Y560" s="5"/>
      <c r="Z560" s="6"/>
      <c r="AA560" s="7"/>
      <c r="AN560" s="5"/>
    </row>
    <row r="561" ht="15.75" customHeight="1">
      <c r="A561" s="7"/>
      <c r="B561" s="7"/>
      <c r="C561" s="7"/>
      <c r="F561" s="7"/>
      <c r="G561" s="6"/>
      <c r="K561" s="5"/>
      <c r="N561" s="6"/>
      <c r="Y561" s="5"/>
      <c r="Z561" s="6"/>
      <c r="AA561" s="7"/>
      <c r="AN561" s="5"/>
    </row>
    <row r="562" ht="15.75" customHeight="1">
      <c r="A562" s="7"/>
      <c r="B562" s="7"/>
      <c r="C562" s="7"/>
      <c r="F562" s="7"/>
      <c r="G562" s="6"/>
      <c r="K562" s="5"/>
      <c r="N562" s="6"/>
      <c r="Y562" s="5"/>
      <c r="Z562" s="6"/>
      <c r="AA562" s="7"/>
      <c r="AN562" s="5"/>
    </row>
    <row r="563" ht="15.75" customHeight="1">
      <c r="A563" s="7"/>
      <c r="B563" s="7"/>
      <c r="C563" s="7"/>
      <c r="F563" s="7"/>
      <c r="G563" s="6"/>
      <c r="K563" s="5"/>
      <c r="N563" s="6"/>
      <c r="Y563" s="5"/>
      <c r="Z563" s="6"/>
      <c r="AA563" s="7"/>
      <c r="AN563" s="5"/>
    </row>
    <row r="564" ht="15.75" customHeight="1">
      <c r="A564" s="7"/>
      <c r="B564" s="7"/>
      <c r="C564" s="7"/>
      <c r="F564" s="7"/>
      <c r="G564" s="6"/>
      <c r="K564" s="5"/>
      <c r="N564" s="6"/>
      <c r="Y564" s="5"/>
      <c r="Z564" s="6"/>
      <c r="AA564" s="7"/>
      <c r="AN564" s="5"/>
    </row>
    <row r="565" ht="15.75" customHeight="1">
      <c r="A565" s="7"/>
      <c r="B565" s="7"/>
      <c r="C565" s="7"/>
      <c r="F565" s="7"/>
      <c r="G565" s="6"/>
      <c r="K565" s="5"/>
      <c r="N565" s="6"/>
      <c r="Y565" s="5"/>
      <c r="Z565" s="6"/>
      <c r="AA565" s="7"/>
      <c r="AN565" s="5"/>
    </row>
    <row r="566" ht="15.75" customHeight="1">
      <c r="A566" s="7"/>
      <c r="B566" s="7"/>
      <c r="C566" s="7"/>
      <c r="F566" s="7"/>
      <c r="G566" s="6"/>
      <c r="K566" s="5"/>
      <c r="N566" s="6"/>
      <c r="Y566" s="5"/>
      <c r="Z566" s="6"/>
      <c r="AA566" s="7"/>
      <c r="AN566" s="5"/>
    </row>
    <row r="567" ht="15.75" customHeight="1">
      <c r="A567" s="7"/>
      <c r="B567" s="7"/>
      <c r="C567" s="7"/>
      <c r="F567" s="7"/>
      <c r="G567" s="6"/>
      <c r="K567" s="5"/>
      <c r="N567" s="6"/>
      <c r="Y567" s="5"/>
      <c r="Z567" s="6"/>
      <c r="AA567" s="7"/>
      <c r="AN567" s="5"/>
    </row>
    <row r="568" ht="15.75" customHeight="1">
      <c r="A568" s="7"/>
      <c r="B568" s="7"/>
      <c r="C568" s="7"/>
      <c r="F568" s="7"/>
      <c r="G568" s="6"/>
      <c r="K568" s="5"/>
      <c r="N568" s="6"/>
      <c r="Y568" s="5"/>
      <c r="Z568" s="6"/>
      <c r="AA568" s="7"/>
      <c r="AN568" s="5"/>
    </row>
    <row r="569" ht="15.75" customHeight="1">
      <c r="A569" s="7"/>
      <c r="B569" s="7"/>
      <c r="C569" s="7"/>
      <c r="F569" s="7"/>
      <c r="G569" s="6"/>
      <c r="K569" s="5"/>
      <c r="N569" s="6"/>
      <c r="Y569" s="5"/>
      <c r="Z569" s="6"/>
      <c r="AA569" s="7"/>
      <c r="AN569" s="5"/>
    </row>
    <row r="570" ht="15.75" customHeight="1">
      <c r="A570" s="7"/>
      <c r="B570" s="7"/>
      <c r="C570" s="7"/>
      <c r="F570" s="7"/>
      <c r="G570" s="6"/>
      <c r="K570" s="5"/>
      <c r="N570" s="6"/>
      <c r="Y570" s="5"/>
      <c r="Z570" s="6"/>
      <c r="AA570" s="7"/>
      <c r="AN570" s="5"/>
    </row>
    <row r="571" ht="15.75" customHeight="1">
      <c r="A571" s="7"/>
      <c r="B571" s="7"/>
      <c r="C571" s="7"/>
      <c r="F571" s="7"/>
      <c r="G571" s="6"/>
      <c r="K571" s="5"/>
      <c r="N571" s="6"/>
      <c r="Y571" s="5"/>
      <c r="Z571" s="6"/>
      <c r="AA571" s="7"/>
      <c r="AN571" s="5"/>
    </row>
    <row r="572" ht="15.75" customHeight="1">
      <c r="A572" s="7"/>
      <c r="B572" s="7"/>
      <c r="C572" s="7"/>
      <c r="F572" s="7"/>
      <c r="G572" s="6"/>
      <c r="K572" s="5"/>
      <c r="N572" s="6"/>
      <c r="Y572" s="5"/>
      <c r="Z572" s="6"/>
      <c r="AA572" s="7"/>
      <c r="AN572" s="5"/>
    </row>
    <row r="573" ht="15.75" customHeight="1">
      <c r="A573" s="7"/>
      <c r="B573" s="7"/>
      <c r="C573" s="7"/>
      <c r="F573" s="7"/>
      <c r="G573" s="6"/>
      <c r="K573" s="5"/>
      <c r="N573" s="6"/>
      <c r="Y573" s="5"/>
      <c r="Z573" s="6"/>
      <c r="AA573" s="7"/>
      <c r="AN573" s="5"/>
    </row>
    <row r="574" ht="15.75" customHeight="1">
      <c r="A574" s="7"/>
      <c r="B574" s="7"/>
      <c r="C574" s="7"/>
      <c r="F574" s="7"/>
      <c r="G574" s="6"/>
      <c r="K574" s="5"/>
      <c r="N574" s="6"/>
      <c r="Y574" s="5"/>
      <c r="Z574" s="6"/>
      <c r="AA574" s="7"/>
      <c r="AN574" s="5"/>
    </row>
    <row r="575" ht="15.75" customHeight="1">
      <c r="A575" s="7"/>
      <c r="B575" s="7"/>
      <c r="C575" s="7"/>
      <c r="F575" s="7"/>
      <c r="G575" s="6"/>
      <c r="K575" s="5"/>
      <c r="N575" s="6"/>
      <c r="Y575" s="5"/>
      <c r="Z575" s="6"/>
      <c r="AA575" s="7"/>
      <c r="AN575" s="5"/>
    </row>
    <row r="576" ht="15.75" customHeight="1">
      <c r="A576" s="7"/>
      <c r="B576" s="7"/>
      <c r="C576" s="7"/>
      <c r="F576" s="7"/>
      <c r="G576" s="6"/>
      <c r="K576" s="5"/>
      <c r="N576" s="6"/>
      <c r="Y576" s="5"/>
      <c r="Z576" s="6"/>
      <c r="AA576" s="7"/>
      <c r="AN576" s="5"/>
    </row>
    <row r="577" ht="15.75" customHeight="1">
      <c r="A577" s="7"/>
      <c r="B577" s="7"/>
      <c r="C577" s="7"/>
      <c r="F577" s="7"/>
      <c r="G577" s="6"/>
      <c r="K577" s="5"/>
      <c r="N577" s="6"/>
      <c r="Y577" s="5"/>
      <c r="Z577" s="6"/>
      <c r="AA577" s="7"/>
      <c r="AN577" s="5"/>
    </row>
    <row r="578" ht="15.75" customHeight="1">
      <c r="A578" s="7"/>
      <c r="B578" s="7"/>
      <c r="C578" s="7"/>
      <c r="F578" s="7"/>
      <c r="G578" s="6"/>
      <c r="K578" s="5"/>
      <c r="N578" s="6"/>
      <c r="Y578" s="5"/>
      <c r="Z578" s="6"/>
      <c r="AA578" s="7"/>
      <c r="AN578" s="5"/>
    </row>
    <row r="579" ht="15.75" customHeight="1">
      <c r="A579" s="7"/>
      <c r="B579" s="7"/>
      <c r="C579" s="7"/>
      <c r="F579" s="7"/>
      <c r="G579" s="6"/>
      <c r="K579" s="5"/>
      <c r="N579" s="6"/>
      <c r="Y579" s="5"/>
      <c r="Z579" s="6"/>
      <c r="AA579" s="7"/>
      <c r="AN579" s="5"/>
    </row>
    <row r="580" ht="15.75" customHeight="1">
      <c r="A580" s="7"/>
      <c r="B580" s="7"/>
      <c r="C580" s="7"/>
      <c r="F580" s="7"/>
      <c r="G580" s="6"/>
      <c r="K580" s="5"/>
      <c r="N580" s="6"/>
      <c r="Y580" s="5"/>
      <c r="Z580" s="6"/>
      <c r="AA580" s="7"/>
      <c r="AN580" s="5"/>
    </row>
    <row r="581" ht="15.75" customHeight="1">
      <c r="A581" s="7"/>
      <c r="B581" s="7"/>
      <c r="C581" s="7"/>
      <c r="F581" s="7"/>
      <c r="G581" s="6"/>
      <c r="K581" s="5"/>
      <c r="N581" s="6"/>
      <c r="Y581" s="5"/>
      <c r="Z581" s="6"/>
      <c r="AA581" s="7"/>
      <c r="AN581" s="5"/>
    </row>
    <row r="582" ht="15.75" customHeight="1">
      <c r="A582" s="7"/>
      <c r="B582" s="7"/>
      <c r="C582" s="7"/>
      <c r="F582" s="7"/>
      <c r="G582" s="6"/>
      <c r="K582" s="5"/>
      <c r="N582" s="6"/>
      <c r="Y582" s="5"/>
      <c r="Z582" s="6"/>
      <c r="AA582" s="7"/>
      <c r="AN582" s="5"/>
    </row>
    <row r="583" ht="15.75" customHeight="1">
      <c r="A583" s="7"/>
      <c r="B583" s="7"/>
      <c r="C583" s="7"/>
      <c r="F583" s="7"/>
      <c r="G583" s="6"/>
      <c r="K583" s="5"/>
      <c r="N583" s="6"/>
      <c r="Y583" s="5"/>
      <c r="Z583" s="6"/>
      <c r="AA583" s="7"/>
      <c r="AN583" s="5"/>
    </row>
    <row r="584" ht="15.75" customHeight="1">
      <c r="A584" s="7"/>
      <c r="B584" s="7"/>
      <c r="C584" s="7"/>
      <c r="F584" s="7"/>
      <c r="G584" s="6"/>
      <c r="K584" s="5"/>
      <c r="N584" s="6"/>
      <c r="Y584" s="5"/>
      <c r="Z584" s="6"/>
      <c r="AA584" s="7"/>
      <c r="AN584" s="5"/>
    </row>
    <row r="585" ht="15.75" customHeight="1">
      <c r="A585" s="7"/>
      <c r="B585" s="7"/>
      <c r="C585" s="7"/>
      <c r="F585" s="7"/>
      <c r="G585" s="6"/>
      <c r="K585" s="5"/>
      <c r="N585" s="6"/>
      <c r="Y585" s="5"/>
      <c r="Z585" s="6"/>
      <c r="AA585" s="7"/>
      <c r="AN585" s="5"/>
    </row>
    <row r="586" ht="15.75" customHeight="1">
      <c r="A586" s="7"/>
      <c r="B586" s="7"/>
      <c r="C586" s="7"/>
      <c r="F586" s="7"/>
      <c r="G586" s="6"/>
      <c r="K586" s="5"/>
      <c r="N586" s="6"/>
      <c r="Y586" s="5"/>
      <c r="Z586" s="6"/>
      <c r="AA586" s="7"/>
      <c r="AN586" s="5"/>
    </row>
    <row r="587" ht="15.75" customHeight="1">
      <c r="A587" s="7"/>
      <c r="B587" s="7"/>
      <c r="C587" s="7"/>
      <c r="F587" s="7"/>
      <c r="G587" s="6"/>
      <c r="K587" s="5"/>
      <c r="N587" s="6"/>
      <c r="Y587" s="5"/>
      <c r="Z587" s="6"/>
      <c r="AA587" s="7"/>
      <c r="AN587" s="5"/>
    </row>
    <row r="588" ht="15.75" customHeight="1">
      <c r="A588" s="7"/>
      <c r="B588" s="7"/>
      <c r="C588" s="7"/>
      <c r="F588" s="7"/>
      <c r="G588" s="6"/>
      <c r="K588" s="5"/>
      <c r="N588" s="6"/>
      <c r="Y588" s="5"/>
      <c r="Z588" s="6"/>
      <c r="AA588" s="7"/>
      <c r="AN588" s="5"/>
    </row>
    <row r="589" ht="15.75" customHeight="1">
      <c r="A589" s="7"/>
      <c r="B589" s="7"/>
      <c r="C589" s="7"/>
      <c r="F589" s="7"/>
      <c r="G589" s="6"/>
      <c r="K589" s="5"/>
      <c r="N589" s="6"/>
      <c r="Y589" s="5"/>
      <c r="Z589" s="6"/>
      <c r="AA589" s="7"/>
      <c r="AN589" s="5"/>
    </row>
    <row r="590" ht="15.75" customHeight="1">
      <c r="A590" s="7"/>
      <c r="B590" s="7"/>
      <c r="C590" s="7"/>
      <c r="F590" s="7"/>
      <c r="G590" s="6"/>
      <c r="K590" s="5"/>
      <c r="N590" s="6"/>
      <c r="Y590" s="5"/>
      <c r="Z590" s="6"/>
      <c r="AA590" s="7"/>
      <c r="AN590" s="5"/>
    </row>
    <row r="591" ht="15.75" customHeight="1">
      <c r="A591" s="7"/>
      <c r="B591" s="7"/>
      <c r="C591" s="7"/>
      <c r="F591" s="7"/>
      <c r="G591" s="6"/>
      <c r="K591" s="5"/>
      <c r="N591" s="6"/>
      <c r="Y591" s="5"/>
      <c r="Z591" s="6"/>
      <c r="AA591" s="7"/>
      <c r="AN591" s="5"/>
    </row>
    <row r="592" ht="15.75" customHeight="1">
      <c r="A592" s="7"/>
      <c r="B592" s="7"/>
      <c r="C592" s="7"/>
      <c r="F592" s="7"/>
      <c r="G592" s="6"/>
      <c r="K592" s="5"/>
      <c r="N592" s="6"/>
      <c r="Y592" s="5"/>
      <c r="Z592" s="6"/>
      <c r="AA592" s="7"/>
      <c r="AN592" s="5"/>
    </row>
    <row r="593" ht="15.75" customHeight="1">
      <c r="A593" s="7"/>
      <c r="B593" s="7"/>
      <c r="C593" s="7"/>
      <c r="F593" s="7"/>
      <c r="G593" s="6"/>
      <c r="K593" s="5"/>
      <c r="N593" s="6"/>
      <c r="Y593" s="5"/>
      <c r="Z593" s="6"/>
      <c r="AA593" s="7"/>
      <c r="AN593" s="5"/>
    </row>
    <row r="594" ht="15.75" customHeight="1">
      <c r="A594" s="7"/>
      <c r="B594" s="7"/>
      <c r="C594" s="7"/>
      <c r="F594" s="7"/>
      <c r="G594" s="6"/>
      <c r="K594" s="5"/>
      <c r="N594" s="6"/>
      <c r="Y594" s="5"/>
      <c r="Z594" s="6"/>
      <c r="AA594" s="7"/>
      <c r="AN594" s="5"/>
    </row>
    <row r="595" ht="15.75" customHeight="1">
      <c r="A595" s="7"/>
      <c r="B595" s="7"/>
      <c r="C595" s="7"/>
      <c r="F595" s="7"/>
      <c r="G595" s="6"/>
      <c r="K595" s="5"/>
      <c r="N595" s="6"/>
      <c r="Y595" s="5"/>
      <c r="Z595" s="6"/>
      <c r="AA595" s="7"/>
      <c r="AN595" s="5"/>
    </row>
    <row r="596" ht="15.75" customHeight="1">
      <c r="A596" s="7"/>
      <c r="B596" s="7"/>
      <c r="C596" s="7"/>
      <c r="F596" s="7"/>
      <c r="G596" s="6"/>
      <c r="K596" s="5"/>
      <c r="N596" s="6"/>
      <c r="Y596" s="5"/>
      <c r="Z596" s="6"/>
      <c r="AA596" s="7"/>
      <c r="AN596" s="5"/>
    </row>
    <row r="597" ht="15.75" customHeight="1">
      <c r="A597" s="7"/>
      <c r="B597" s="7"/>
      <c r="C597" s="7"/>
      <c r="F597" s="7"/>
      <c r="G597" s="6"/>
      <c r="K597" s="5"/>
      <c r="N597" s="6"/>
      <c r="Y597" s="5"/>
      <c r="Z597" s="6"/>
      <c r="AA597" s="7"/>
      <c r="AN597" s="5"/>
    </row>
    <row r="598" ht="15.75" customHeight="1">
      <c r="A598" s="7"/>
      <c r="B598" s="7"/>
      <c r="C598" s="7"/>
      <c r="F598" s="7"/>
      <c r="G598" s="6"/>
      <c r="K598" s="5"/>
      <c r="N598" s="6"/>
      <c r="Y598" s="5"/>
      <c r="Z598" s="6"/>
      <c r="AA598" s="7"/>
      <c r="AN598" s="5"/>
    </row>
    <row r="599" ht="15.75" customHeight="1">
      <c r="A599" s="7"/>
      <c r="B599" s="7"/>
      <c r="C599" s="7"/>
      <c r="F599" s="7"/>
      <c r="G599" s="6"/>
      <c r="K599" s="5"/>
      <c r="N599" s="6"/>
      <c r="Y599" s="5"/>
      <c r="Z599" s="6"/>
      <c r="AA599" s="7"/>
      <c r="AN599" s="5"/>
    </row>
    <row r="600" ht="15.75" customHeight="1">
      <c r="A600" s="7"/>
      <c r="B600" s="7"/>
      <c r="C600" s="7"/>
      <c r="F600" s="7"/>
      <c r="G600" s="6"/>
      <c r="K600" s="5"/>
      <c r="N600" s="6"/>
      <c r="Y600" s="5"/>
      <c r="Z600" s="6"/>
      <c r="AA600" s="7"/>
      <c r="AN600" s="5"/>
    </row>
    <row r="601" ht="15.75" customHeight="1">
      <c r="A601" s="7"/>
      <c r="B601" s="7"/>
      <c r="C601" s="7"/>
      <c r="F601" s="7"/>
      <c r="G601" s="6"/>
      <c r="K601" s="5"/>
      <c r="N601" s="6"/>
      <c r="Y601" s="5"/>
      <c r="Z601" s="6"/>
      <c r="AA601" s="7"/>
      <c r="AN601" s="5"/>
    </row>
    <row r="602" ht="15.75" customHeight="1">
      <c r="A602" s="7"/>
      <c r="B602" s="7"/>
      <c r="C602" s="7"/>
      <c r="F602" s="7"/>
      <c r="G602" s="6"/>
      <c r="K602" s="5"/>
      <c r="N602" s="6"/>
      <c r="Y602" s="5"/>
      <c r="Z602" s="6"/>
      <c r="AA602" s="7"/>
      <c r="AN602" s="5"/>
    </row>
    <row r="603" ht="15.75" customHeight="1">
      <c r="A603" s="7"/>
      <c r="B603" s="7"/>
      <c r="C603" s="7"/>
      <c r="F603" s="7"/>
      <c r="G603" s="6"/>
      <c r="K603" s="5"/>
      <c r="N603" s="6"/>
      <c r="Y603" s="5"/>
      <c r="Z603" s="6"/>
      <c r="AA603" s="7"/>
      <c r="AN603" s="5"/>
    </row>
    <row r="604" ht="15.75" customHeight="1">
      <c r="A604" s="7"/>
      <c r="B604" s="7"/>
      <c r="C604" s="7"/>
      <c r="F604" s="7"/>
      <c r="G604" s="6"/>
      <c r="K604" s="5"/>
      <c r="N604" s="6"/>
      <c r="Y604" s="5"/>
      <c r="Z604" s="6"/>
      <c r="AA604" s="7"/>
      <c r="AN604" s="5"/>
    </row>
    <row r="605" ht="15.75" customHeight="1">
      <c r="A605" s="7"/>
      <c r="B605" s="7"/>
      <c r="C605" s="7"/>
      <c r="F605" s="7"/>
      <c r="G605" s="6"/>
      <c r="K605" s="5"/>
      <c r="N605" s="6"/>
      <c r="Y605" s="5"/>
      <c r="Z605" s="6"/>
      <c r="AA605" s="7"/>
      <c r="AN605" s="5"/>
    </row>
    <row r="606" ht="15.75" customHeight="1">
      <c r="A606" s="7"/>
      <c r="B606" s="7"/>
      <c r="C606" s="7"/>
      <c r="F606" s="7"/>
      <c r="G606" s="6"/>
      <c r="K606" s="5"/>
      <c r="N606" s="6"/>
      <c r="Y606" s="5"/>
      <c r="Z606" s="6"/>
      <c r="AA606" s="7"/>
      <c r="AN606" s="5"/>
    </row>
    <row r="607" ht="15.75" customHeight="1">
      <c r="A607" s="7"/>
      <c r="B607" s="7"/>
      <c r="C607" s="7"/>
      <c r="F607" s="7"/>
      <c r="G607" s="6"/>
      <c r="K607" s="5"/>
      <c r="N607" s="6"/>
      <c r="Y607" s="5"/>
      <c r="Z607" s="6"/>
      <c r="AA607" s="7"/>
      <c r="AN607" s="5"/>
    </row>
    <row r="608" ht="15.75" customHeight="1">
      <c r="A608" s="7"/>
      <c r="B608" s="7"/>
      <c r="C608" s="7"/>
      <c r="F608" s="7"/>
      <c r="G608" s="6"/>
      <c r="K608" s="5"/>
      <c r="N608" s="6"/>
      <c r="Y608" s="5"/>
      <c r="Z608" s="6"/>
      <c r="AA608" s="7"/>
      <c r="AN608" s="5"/>
    </row>
    <row r="609" ht="15.75" customHeight="1">
      <c r="A609" s="7"/>
      <c r="B609" s="7"/>
      <c r="C609" s="7"/>
      <c r="F609" s="7"/>
      <c r="G609" s="6"/>
      <c r="K609" s="5"/>
      <c r="N609" s="6"/>
      <c r="Y609" s="5"/>
      <c r="Z609" s="6"/>
      <c r="AA609" s="7"/>
      <c r="AN609" s="5"/>
    </row>
    <row r="610" ht="15.75" customHeight="1">
      <c r="A610" s="7"/>
      <c r="B610" s="7"/>
      <c r="C610" s="7"/>
      <c r="F610" s="7"/>
      <c r="G610" s="6"/>
      <c r="K610" s="5"/>
      <c r="N610" s="6"/>
      <c r="Y610" s="5"/>
      <c r="Z610" s="6"/>
      <c r="AA610" s="7"/>
      <c r="AN610" s="5"/>
    </row>
    <row r="611" ht="15.75" customHeight="1">
      <c r="A611" s="7"/>
      <c r="B611" s="7"/>
      <c r="C611" s="7"/>
      <c r="F611" s="7"/>
      <c r="G611" s="6"/>
      <c r="K611" s="5"/>
      <c r="N611" s="6"/>
      <c r="Y611" s="5"/>
      <c r="Z611" s="6"/>
      <c r="AA611" s="7"/>
      <c r="AN611" s="5"/>
    </row>
    <row r="612" ht="15.75" customHeight="1">
      <c r="A612" s="7"/>
      <c r="B612" s="7"/>
      <c r="C612" s="7"/>
      <c r="F612" s="7"/>
      <c r="G612" s="6"/>
      <c r="K612" s="5"/>
      <c r="N612" s="6"/>
      <c r="Y612" s="5"/>
      <c r="Z612" s="6"/>
      <c r="AA612" s="7"/>
      <c r="AN612" s="5"/>
    </row>
    <row r="613" ht="15.75" customHeight="1">
      <c r="A613" s="7"/>
      <c r="B613" s="7"/>
      <c r="C613" s="7"/>
      <c r="F613" s="7"/>
      <c r="G613" s="6"/>
      <c r="K613" s="5"/>
      <c r="N613" s="6"/>
      <c r="Y613" s="5"/>
      <c r="Z613" s="6"/>
      <c r="AA613" s="7"/>
      <c r="AN613" s="5"/>
    </row>
    <row r="614" ht="15.75" customHeight="1">
      <c r="A614" s="7"/>
      <c r="B614" s="7"/>
      <c r="C614" s="7"/>
      <c r="F614" s="7"/>
      <c r="G614" s="6"/>
      <c r="K614" s="5"/>
      <c r="N614" s="6"/>
      <c r="Y614" s="5"/>
      <c r="Z614" s="6"/>
      <c r="AA614" s="7"/>
      <c r="AN614" s="5"/>
    </row>
    <row r="615" ht="15.75" customHeight="1">
      <c r="A615" s="7"/>
      <c r="B615" s="7"/>
      <c r="C615" s="7"/>
      <c r="F615" s="7"/>
      <c r="G615" s="6"/>
      <c r="K615" s="5"/>
      <c r="N615" s="6"/>
      <c r="Y615" s="5"/>
      <c r="Z615" s="6"/>
      <c r="AA615" s="7"/>
      <c r="AN615" s="5"/>
    </row>
    <row r="616" ht="15.75" customHeight="1">
      <c r="A616" s="7"/>
      <c r="B616" s="7"/>
      <c r="C616" s="7"/>
      <c r="F616" s="7"/>
      <c r="G616" s="6"/>
      <c r="K616" s="5"/>
      <c r="N616" s="6"/>
      <c r="Y616" s="5"/>
      <c r="Z616" s="6"/>
      <c r="AA616" s="7"/>
      <c r="AN616" s="5"/>
    </row>
    <row r="617" ht="15.75" customHeight="1">
      <c r="A617" s="7"/>
      <c r="B617" s="7"/>
      <c r="C617" s="7"/>
      <c r="F617" s="7"/>
      <c r="G617" s="6"/>
      <c r="K617" s="5"/>
      <c r="N617" s="6"/>
      <c r="Y617" s="5"/>
      <c r="Z617" s="6"/>
      <c r="AA617" s="7"/>
      <c r="AN617" s="5"/>
    </row>
    <row r="618" ht="15.75" customHeight="1">
      <c r="A618" s="7"/>
      <c r="B618" s="7"/>
      <c r="C618" s="7"/>
      <c r="F618" s="7"/>
      <c r="G618" s="6"/>
      <c r="K618" s="5"/>
      <c r="N618" s="6"/>
      <c r="Y618" s="5"/>
      <c r="Z618" s="6"/>
      <c r="AA618" s="7"/>
      <c r="AN618" s="5"/>
    </row>
    <row r="619" ht="15.75" customHeight="1">
      <c r="A619" s="7"/>
      <c r="B619" s="7"/>
      <c r="C619" s="7"/>
      <c r="F619" s="7"/>
      <c r="G619" s="6"/>
      <c r="K619" s="5"/>
      <c r="N619" s="6"/>
      <c r="Y619" s="5"/>
      <c r="Z619" s="6"/>
      <c r="AA619" s="7"/>
      <c r="AN619" s="5"/>
    </row>
    <row r="620" ht="15.75" customHeight="1">
      <c r="A620" s="7"/>
      <c r="B620" s="7"/>
      <c r="C620" s="7"/>
      <c r="F620" s="7"/>
      <c r="G620" s="6"/>
      <c r="K620" s="5"/>
      <c r="N620" s="6"/>
      <c r="Y620" s="5"/>
      <c r="Z620" s="6"/>
      <c r="AA620" s="7"/>
      <c r="AN620" s="5"/>
    </row>
    <row r="621" ht="15.75" customHeight="1">
      <c r="A621" s="7"/>
      <c r="B621" s="7"/>
      <c r="C621" s="7"/>
      <c r="F621" s="7"/>
      <c r="G621" s="6"/>
      <c r="K621" s="5"/>
      <c r="N621" s="6"/>
      <c r="Y621" s="5"/>
      <c r="Z621" s="6"/>
      <c r="AA621" s="7"/>
      <c r="AN621" s="5"/>
    </row>
    <row r="622" ht="15.75" customHeight="1">
      <c r="A622" s="7"/>
      <c r="B622" s="7"/>
      <c r="C622" s="7"/>
      <c r="F622" s="7"/>
      <c r="G622" s="6"/>
      <c r="K622" s="5"/>
      <c r="N622" s="6"/>
      <c r="Y622" s="5"/>
      <c r="Z622" s="6"/>
      <c r="AA622" s="7"/>
      <c r="AN622" s="5"/>
    </row>
    <row r="623" ht="15.75" customHeight="1">
      <c r="A623" s="7"/>
      <c r="B623" s="7"/>
      <c r="C623" s="7"/>
      <c r="F623" s="7"/>
      <c r="G623" s="6"/>
      <c r="K623" s="5"/>
      <c r="N623" s="6"/>
      <c r="Y623" s="5"/>
      <c r="Z623" s="6"/>
      <c r="AA623" s="7"/>
      <c r="AN623" s="5"/>
    </row>
    <row r="624" ht="15.75" customHeight="1">
      <c r="A624" s="7"/>
      <c r="B624" s="7"/>
      <c r="C624" s="7"/>
      <c r="F624" s="7"/>
      <c r="G624" s="6"/>
      <c r="K624" s="5"/>
      <c r="N624" s="6"/>
      <c r="Y624" s="5"/>
      <c r="Z624" s="6"/>
      <c r="AA624" s="7"/>
      <c r="AN624" s="5"/>
    </row>
    <row r="625" ht="15.75" customHeight="1">
      <c r="A625" s="7"/>
      <c r="B625" s="7"/>
      <c r="C625" s="7"/>
      <c r="F625" s="7"/>
      <c r="G625" s="6"/>
      <c r="K625" s="5"/>
      <c r="N625" s="6"/>
      <c r="Y625" s="5"/>
      <c r="Z625" s="6"/>
      <c r="AA625" s="7"/>
      <c r="AN625" s="5"/>
    </row>
    <row r="626" ht="15.75" customHeight="1">
      <c r="A626" s="7"/>
      <c r="B626" s="7"/>
      <c r="C626" s="7"/>
      <c r="F626" s="7"/>
      <c r="G626" s="6"/>
      <c r="K626" s="5"/>
      <c r="N626" s="6"/>
      <c r="Y626" s="5"/>
      <c r="Z626" s="6"/>
      <c r="AA626" s="7"/>
      <c r="AN626" s="5"/>
    </row>
    <row r="627" ht="15.75" customHeight="1">
      <c r="A627" s="7"/>
      <c r="B627" s="7"/>
      <c r="C627" s="7"/>
      <c r="F627" s="7"/>
      <c r="G627" s="6"/>
      <c r="K627" s="5"/>
      <c r="N627" s="6"/>
      <c r="Y627" s="5"/>
      <c r="Z627" s="6"/>
      <c r="AA627" s="7"/>
      <c r="AN627" s="5"/>
    </row>
    <row r="628" ht="15.75" customHeight="1">
      <c r="A628" s="7"/>
      <c r="B628" s="7"/>
      <c r="C628" s="7"/>
      <c r="F628" s="7"/>
      <c r="G628" s="6"/>
      <c r="K628" s="5"/>
      <c r="N628" s="6"/>
      <c r="Y628" s="5"/>
      <c r="Z628" s="6"/>
      <c r="AA628" s="7"/>
      <c r="AN628" s="5"/>
    </row>
    <row r="629" ht="15.75" customHeight="1">
      <c r="A629" s="7"/>
      <c r="B629" s="7"/>
      <c r="C629" s="7"/>
      <c r="F629" s="7"/>
      <c r="G629" s="6"/>
      <c r="K629" s="5"/>
      <c r="N629" s="6"/>
      <c r="Y629" s="5"/>
      <c r="Z629" s="6"/>
      <c r="AA629" s="7"/>
      <c r="AN629" s="5"/>
    </row>
    <row r="630" ht="15.75" customHeight="1">
      <c r="A630" s="7"/>
      <c r="B630" s="7"/>
      <c r="C630" s="7"/>
      <c r="F630" s="7"/>
      <c r="G630" s="6"/>
      <c r="K630" s="5"/>
      <c r="N630" s="6"/>
      <c r="Y630" s="5"/>
      <c r="Z630" s="6"/>
      <c r="AA630" s="7"/>
      <c r="AN630" s="5"/>
    </row>
    <row r="631" ht="15.75" customHeight="1">
      <c r="A631" s="7"/>
      <c r="B631" s="7"/>
      <c r="C631" s="7"/>
      <c r="F631" s="7"/>
      <c r="G631" s="6"/>
      <c r="K631" s="5"/>
      <c r="N631" s="6"/>
      <c r="Y631" s="5"/>
      <c r="Z631" s="6"/>
      <c r="AA631" s="7"/>
      <c r="AN631" s="5"/>
    </row>
    <row r="632" ht="15.75" customHeight="1">
      <c r="A632" s="7"/>
      <c r="B632" s="7"/>
      <c r="C632" s="7"/>
      <c r="F632" s="7"/>
      <c r="G632" s="6"/>
      <c r="K632" s="5"/>
      <c r="N632" s="6"/>
      <c r="Y632" s="5"/>
      <c r="Z632" s="6"/>
      <c r="AA632" s="7"/>
      <c r="AN632" s="5"/>
    </row>
    <row r="633" ht="15.75" customHeight="1">
      <c r="A633" s="7"/>
      <c r="B633" s="7"/>
      <c r="C633" s="7"/>
      <c r="F633" s="7"/>
      <c r="G633" s="6"/>
      <c r="K633" s="5"/>
      <c r="N633" s="6"/>
      <c r="Y633" s="5"/>
      <c r="Z633" s="6"/>
      <c r="AA633" s="7"/>
      <c r="AN633" s="5"/>
    </row>
    <row r="634" ht="15.75" customHeight="1">
      <c r="A634" s="7"/>
      <c r="B634" s="7"/>
      <c r="C634" s="7"/>
      <c r="F634" s="7"/>
      <c r="G634" s="6"/>
      <c r="K634" s="5"/>
      <c r="N634" s="6"/>
      <c r="Y634" s="5"/>
      <c r="Z634" s="6"/>
      <c r="AA634" s="7"/>
      <c r="AN634" s="5"/>
    </row>
    <row r="635" ht="15.75" customHeight="1">
      <c r="A635" s="7"/>
      <c r="B635" s="7"/>
      <c r="C635" s="7"/>
      <c r="F635" s="7"/>
      <c r="G635" s="6"/>
      <c r="K635" s="5"/>
      <c r="N635" s="6"/>
      <c r="Y635" s="5"/>
      <c r="Z635" s="6"/>
      <c r="AA635" s="7"/>
      <c r="AN635" s="5"/>
    </row>
    <row r="636" ht="15.75" customHeight="1">
      <c r="A636" s="7"/>
      <c r="B636" s="7"/>
      <c r="C636" s="7"/>
      <c r="F636" s="7"/>
      <c r="G636" s="6"/>
      <c r="K636" s="5"/>
      <c r="N636" s="6"/>
      <c r="Y636" s="5"/>
      <c r="Z636" s="6"/>
      <c r="AA636" s="7"/>
      <c r="AN636" s="5"/>
    </row>
    <row r="637" ht="15.75" customHeight="1">
      <c r="A637" s="7"/>
      <c r="B637" s="7"/>
      <c r="C637" s="7"/>
      <c r="F637" s="7"/>
      <c r="G637" s="6"/>
      <c r="K637" s="5"/>
      <c r="N637" s="6"/>
      <c r="Y637" s="5"/>
      <c r="Z637" s="6"/>
      <c r="AA637" s="7"/>
      <c r="AN637" s="5"/>
    </row>
    <row r="638" ht="15.75" customHeight="1">
      <c r="A638" s="7"/>
      <c r="B638" s="7"/>
      <c r="C638" s="7"/>
      <c r="F638" s="7"/>
      <c r="G638" s="6"/>
      <c r="K638" s="5"/>
      <c r="N638" s="6"/>
      <c r="Y638" s="5"/>
      <c r="Z638" s="6"/>
      <c r="AA638" s="7"/>
      <c r="AN638" s="5"/>
    </row>
    <row r="639" ht="15.75" customHeight="1">
      <c r="A639" s="7"/>
      <c r="B639" s="7"/>
      <c r="C639" s="7"/>
      <c r="F639" s="7"/>
      <c r="G639" s="6"/>
      <c r="K639" s="5"/>
      <c r="N639" s="6"/>
      <c r="Y639" s="5"/>
      <c r="Z639" s="6"/>
      <c r="AA639" s="7"/>
      <c r="AN639" s="5"/>
    </row>
    <row r="640" ht="15.75" customHeight="1">
      <c r="A640" s="7"/>
      <c r="B640" s="7"/>
      <c r="C640" s="7"/>
      <c r="F640" s="7"/>
      <c r="G640" s="6"/>
      <c r="K640" s="5"/>
      <c r="N640" s="6"/>
      <c r="Y640" s="5"/>
      <c r="Z640" s="6"/>
      <c r="AA640" s="7"/>
      <c r="AN640" s="5"/>
    </row>
    <row r="641" ht="15.75" customHeight="1">
      <c r="A641" s="7"/>
      <c r="B641" s="7"/>
      <c r="C641" s="7"/>
      <c r="F641" s="7"/>
      <c r="G641" s="6"/>
      <c r="K641" s="5"/>
      <c r="N641" s="6"/>
      <c r="Y641" s="5"/>
      <c r="Z641" s="6"/>
      <c r="AA641" s="7"/>
      <c r="AN641" s="5"/>
    </row>
    <row r="642" ht="15.75" customHeight="1">
      <c r="A642" s="7"/>
      <c r="B642" s="7"/>
      <c r="C642" s="7"/>
      <c r="F642" s="7"/>
      <c r="G642" s="6"/>
      <c r="K642" s="5"/>
      <c r="N642" s="6"/>
      <c r="Y642" s="5"/>
      <c r="Z642" s="6"/>
      <c r="AA642" s="7"/>
      <c r="AN642" s="5"/>
    </row>
    <row r="643" ht="15.75" customHeight="1">
      <c r="A643" s="7"/>
      <c r="B643" s="7"/>
      <c r="C643" s="7"/>
      <c r="F643" s="7"/>
      <c r="G643" s="6"/>
      <c r="K643" s="5"/>
      <c r="N643" s="6"/>
      <c r="Y643" s="5"/>
      <c r="Z643" s="6"/>
      <c r="AA643" s="7"/>
      <c r="AN643" s="5"/>
    </row>
    <row r="644" ht="15.75" customHeight="1">
      <c r="A644" s="7"/>
      <c r="B644" s="7"/>
      <c r="C644" s="7"/>
      <c r="F644" s="7"/>
      <c r="G644" s="6"/>
      <c r="K644" s="5"/>
      <c r="N644" s="6"/>
      <c r="Y644" s="5"/>
      <c r="Z644" s="6"/>
      <c r="AA644" s="7"/>
      <c r="AN644" s="5"/>
    </row>
    <row r="645" ht="15.75" customHeight="1">
      <c r="A645" s="7"/>
      <c r="B645" s="7"/>
      <c r="C645" s="7"/>
      <c r="F645" s="7"/>
      <c r="G645" s="6"/>
      <c r="K645" s="5"/>
      <c r="N645" s="6"/>
      <c r="Y645" s="5"/>
      <c r="Z645" s="6"/>
      <c r="AA645" s="7"/>
      <c r="AN645" s="5"/>
    </row>
    <row r="646" ht="15.75" customHeight="1">
      <c r="A646" s="7"/>
      <c r="B646" s="7"/>
      <c r="C646" s="7"/>
      <c r="F646" s="7"/>
      <c r="G646" s="6"/>
      <c r="K646" s="5"/>
      <c r="N646" s="6"/>
      <c r="Y646" s="5"/>
      <c r="Z646" s="6"/>
      <c r="AA646" s="7"/>
      <c r="AN646" s="5"/>
    </row>
    <row r="647" ht="15.75" customHeight="1">
      <c r="A647" s="7"/>
      <c r="B647" s="7"/>
      <c r="C647" s="7"/>
      <c r="F647" s="7"/>
      <c r="G647" s="6"/>
      <c r="K647" s="5"/>
      <c r="N647" s="6"/>
      <c r="Y647" s="5"/>
      <c r="Z647" s="6"/>
      <c r="AA647" s="7"/>
      <c r="AN647" s="5"/>
    </row>
    <row r="648" ht="15.75" customHeight="1">
      <c r="A648" s="7"/>
      <c r="B648" s="7"/>
      <c r="C648" s="7"/>
      <c r="F648" s="7"/>
      <c r="G648" s="6"/>
      <c r="K648" s="5"/>
      <c r="N648" s="6"/>
      <c r="Y648" s="5"/>
      <c r="Z648" s="6"/>
      <c r="AA648" s="7"/>
      <c r="AN648" s="5"/>
    </row>
    <row r="649" ht="15.75" customHeight="1">
      <c r="A649" s="7"/>
      <c r="B649" s="7"/>
      <c r="C649" s="7"/>
      <c r="F649" s="7"/>
      <c r="G649" s="6"/>
      <c r="K649" s="5"/>
      <c r="N649" s="6"/>
      <c r="Y649" s="5"/>
      <c r="Z649" s="6"/>
      <c r="AA649" s="7"/>
      <c r="AN649" s="5"/>
    </row>
    <row r="650" ht="15.75" customHeight="1">
      <c r="A650" s="7"/>
      <c r="B650" s="7"/>
      <c r="C650" s="7"/>
      <c r="F650" s="7"/>
      <c r="G650" s="6"/>
      <c r="K650" s="5"/>
      <c r="N650" s="6"/>
      <c r="Y650" s="5"/>
      <c r="Z650" s="6"/>
      <c r="AA650" s="7"/>
      <c r="AN650" s="5"/>
    </row>
    <row r="651" ht="15.75" customHeight="1">
      <c r="A651" s="7"/>
      <c r="B651" s="7"/>
      <c r="C651" s="7"/>
      <c r="F651" s="7"/>
      <c r="G651" s="6"/>
      <c r="K651" s="5"/>
      <c r="N651" s="6"/>
      <c r="Y651" s="5"/>
      <c r="Z651" s="6"/>
      <c r="AA651" s="7"/>
      <c r="AN651" s="5"/>
    </row>
    <row r="652" ht="15.75" customHeight="1">
      <c r="A652" s="7"/>
      <c r="B652" s="7"/>
      <c r="C652" s="7"/>
      <c r="F652" s="7"/>
      <c r="G652" s="6"/>
      <c r="K652" s="5"/>
      <c r="N652" s="6"/>
      <c r="Y652" s="5"/>
      <c r="Z652" s="6"/>
      <c r="AA652" s="7"/>
      <c r="AN652" s="5"/>
    </row>
    <row r="653" ht="15.75" customHeight="1">
      <c r="A653" s="7"/>
      <c r="B653" s="7"/>
      <c r="C653" s="7"/>
      <c r="F653" s="7"/>
      <c r="G653" s="6"/>
      <c r="K653" s="5"/>
      <c r="N653" s="6"/>
      <c r="Y653" s="5"/>
      <c r="Z653" s="6"/>
      <c r="AA653" s="7"/>
      <c r="AN653" s="5"/>
    </row>
    <row r="654" ht="15.75" customHeight="1">
      <c r="A654" s="7"/>
      <c r="B654" s="7"/>
      <c r="C654" s="7"/>
      <c r="F654" s="7"/>
      <c r="G654" s="6"/>
      <c r="K654" s="5"/>
      <c r="N654" s="6"/>
      <c r="Y654" s="5"/>
      <c r="Z654" s="6"/>
      <c r="AA654" s="7"/>
      <c r="AN654" s="5"/>
    </row>
    <row r="655" ht="15.75" customHeight="1">
      <c r="A655" s="7"/>
      <c r="B655" s="7"/>
      <c r="C655" s="7"/>
      <c r="F655" s="7"/>
      <c r="G655" s="6"/>
      <c r="K655" s="5"/>
      <c r="N655" s="6"/>
      <c r="Y655" s="5"/>
      <c r="Z655" s="6"/>
      <c r="AA655" s="7"/>
      <c r="AN655" s="5"/>
    </row>
    <row r="656" ht="15.75" customHeight="1">
      <c r="A656" s="7"/>
      <c r="B656" s="7"/>
      <c r="C656" s="7"/>
      <c r="F656" s="7"/>
      <c r="G656" s="6"/>
      <c r="K656" s="5"/>
      <c r="N656" s="6"/>
      <c r="Y656" s="5"/>
      <c r="Z656" s="6"/>
      <c r="AA656" s="7"/>
      <c r="AN656" s="5"/>
    </row>
    <row r="657" ht="15.75" customHeight="1">
      <c r="A657" s="7"/>
      <c r="B657" s="7"/>
      <c r="C657" s="7"/>
      <c r="F657" s="7"/>
      <c r="G657" s="6"/>
      <c r="K657" s="5"/>
      <c r="N657" s="6"/>
      <c r="Y657" s="5"/>
      <c r="Z657" s="6"/>
      <c r="AA657" s="7"/>
      <c r="AN657" s="5"/>
    </row>
    <row r="658" ht="15.75" customHeight="1">
      <c r="A658" s="7"/>
      <c r="B658" s="7"/>
      <c r="C658" s="7"/>
      <c r="F658" s="7"/>
      <c r="G658" s="6"/>
      <c r="K658" s="5"/>
      <c r="N658" s="6"/>
      <c r="Y658" s="5"/>
      <c r="Z658" s="6"/>
      <c r="AA658" s="7"/>
      <c r="AN658" s="5"/>
    </row>
    <row r="659" ht="15.75" customHeight="1">
      <c r="A659" s="7"/>
      <c r="B659" s="7"/>
      <c r="C659" s="7"/>
      <c r="F659" s="7"/>
      <c r="G659" s="6"/>
      <c r="K659" s="5"/>
      <c r="N659" s="6"/>
      <c r="Y659" s="5"/>
      <c r="Z659" s="6"/>
      <c r="AA659" s="7"/>
      <c r="AN659" s="5"/>
    </row>
    <row r="660" ht="15.75" customHeight="1">
      <c r="A660" s="7"/>
      <c r="B660" s="7"/>
      <c r="C660" s="7"/>
      <c r="F660" s="7"/>
      <c r="G660" s="6"/>
      <c r="K660" s="5"/>
      <c r="N660" s="6"/>
      <c r="Y660" s="5"/>
      <c r="Z660" s="6"/>
      <c r="AA660" s="7"/>
      <c r="AN660" s="5"/>
    </row>
    <row r="661" ht="15.75" customHeight="1">
      <c r="A661" s="7"/>
      <c r="B661" s="7"/>
      <c r="C661" s="7"/>
      <c r="F661" s="7"/>
      <c r="G661" s="6"/>
      <c r="K661" s="5"/>
      <c r="N661" s="6"/>
      <c r="Y661" s="5"/>
      <c r="Z661" s="6"/>
      <c r="AA661" s="7"/>
      <c r="AN661" s="5"/>
    </row>
    <row r="662" ht="15.75" customHeight="1">
      <c r="A662" s="7"/>
      <c r="B662" s="7"/>
      <c r="C662" s="7"/>
      <c r="F662" s="7"/>
      <c r="G662" s="6"/>
      <c r="K662" s="5"/>
      <c r="N662" s="6"/>
      <c r="Y662" s="5"/>
      <c r="Z662" s="6"/>
      <c r="AA662" s="7"/>
      <c r="AN662" s="5"/>
    </row>
    <row r="663" ht="15.75" customHeight="1">
      <c r="A663" s="7"/>
      <c r="B663" s="7"/>
      <c r="C663" s="7"/>
      <c r="F663" s="7"/>
      <c r="G663" s="6"/>
      <c r="K663" s="5"/>
      <c r="N663" s="6"/>
      <c r="Y663" s="5"/>
      <c r="Z663" s="6"/>
      <c r="AA663" s="7"/>
      <c r="AN663" s="5"/>
    </row>
    <row r="664" ht="15.75" customHeight="1">
      <c r="A664" s="7"/>
      <c r="B664" s="7"/>
      <c r="C664" s="7"/>
      <c r="F664" s="7"/>
      <c r="G664" s="6"/>
      <c r="K664" s="5"/>
      <c r="N664" s="6"/>
      <c r="Y664" s="5"/>
      <c r="Z664" s="6"/>
      <c r="AA664" s="7"/>
      <c r="AN664" s="5"/>
    </row>
    <row r="665" ht="15.75" customHeight="1">
      <c r="A665" s="7"/>
      <c r="B665" s="7"/>
      <c r="C665" s="7"/>
      <c r="F665" s="7"/>
      <c r="G665" s="6"/>
      <c r="K665" s="5"/>
      <c r="N665" s="6"/>
      <c r="Y665" s="5"/>
      <c r="Z665" s="6"/>
      <c r="AA665" s="7"/>
      <c r="AN665" s="5"/>
    </row>
    <row r="666" ht="15.75" customHeight="1">
      <c r="A666" s="7"/>
      <c r="B666" s="7"/>
      <c r="C666" s="7"/>
      <c r="F666" s="7"/>
      <c r="G666" s="6"/>
      <c r="K666" s="5"/>
      <c r="N666" s="6"/>
      <c r="Y666" s="5"/>
      <c r="Z666" s="6"/>
      <c r="AA666" s="7"/>
      <c r="AN666" s="5"/>
    </row>
    <row r="667" ht="15.75" customHeight="1">
      <c r="A667" s="7"/>
      <c r="B667" s="7"/>
      <c r="C667" s="7"/>
      <c r="F667" s="7"/>
      <c r="G667" s="6"/>
      <c r="K667" s="5"/>
      <c r="N667" s="6"/>
      <c r="Y667" s="5"/>
      <c r="Z667" s="6"/>
      <c r="AA667" s="7"/>
      <c r="AN667" s="5"/>
    </row>
    <row r="668" ht="15.75" customHeight="1">
      <c r="A668" s="7"/>
      <c r="B668" s="7"/>
      <c r="C668" s="7"/>
      <c r="F668" s="7"/>
      <c r="G668" s="6"/>
      <c r="K668" s="5"/>
      <c r="N668" s="6"/>
      <c r="Y668" s="5"/>
      <c r="Z668" s="6"/>
      <c r="AA668" s="7"/>
      <c r="AN668" s="5"/>
    </row>
    <row r="669" ht="15.75" customHeight="1">
      <c r="A669" s="7"/>
      <c r="B669" s="7"/>
      <c r="C669" s="7"/>
      <c r="F669" s="7"/>
      <c r="G669" s="6"/>
      <c r="K669" s="5"/>
      <c r="N669" s="6"/>
      <c r="Y669" s="5"/>
      <c r="Z669" s="6"/>
      <c r="AA669" s="7"/>
      <c r="AN669" s="5"/>
    </row>
    <row r="670" ht="15.75" customHeight="1">
      <c r="A670" s="7"/>
      <c r="B670" s="7"/>
      <c r="C670" s="7"/>
      <c r="F670" s="7"/>
      <c r="G670" s="6"/>
      <c r="K670" s="5"/>
      <c r="N670" s="6"/>
      <c r="Y670" s="5"/>
      <c r="Z670" s="6"/>
      <c r="AA670" s="7"/>
      <c r="AN670" s="5"/>
    </row>
    <row r="671" ht="15.75" customHeight="1">
      <c r="A671" s="7"/>
      <c r="B671" s="7"/>
      <c r="C671" s="7"/>
      <c r="F671" s="7"/>
      <c r="G671" s="6"/>
      <c r="K671" s="5"/>
      <c r="N671" s="6"/>
      <c r="Y671" s="5"/>
      <c r="Z671" s="6"/>
      <c r="AA671" s="7"/>
      <c r="AN671" s="5"/>
    </row>
    <row r="672" ht="15.75" customHeight="1">
      <c r="A672" s="7"/>
      <c r="B672" s="7"/>
      <c r="C672" s="7"/>
      <c r="F672" s="7"/>
      <c r="G672" s="6"/>
      <c r="K672" s="5"/>
      <c r="N672" s="6"/>
      <c r="Y672" s="5"/>
      <c r="Z672" s="6"/>
      <c r="AA672" s="7"/>
      <c r="AN672" s="5"/>
    </row>
    <row r="673" ht="15.75" customHeight="1">
      <c r="A673" s="7"/>
      <c r="B673" s="7"/>
      <c r="C673" s="7"/>
      <c r="F673" s="7"/>
      <c r="G673" s="6"/>
      <c r="K673" s="5"/>
      <c r="N673" s="6"/>
      <c r="Y673" s="5"/>
      <c r="Z673" s="6"/>
      <c r="AA673" s="7"/>
      <c r="AN673" s="5"/>
    </row>
    <row r="674" ht="15.75" customHeight="1">
      <c r="A674" s="7"/>
      <c r="B674" s="7"/>
      <c r="C674" s="7"/>
      <c r="F674" s="7"/>
      <c r="G674" s="6"/>
      <c r="K674" s="5"/>
      <c r="N674" s="6"/>
      <c r="Y674" s="5"/>
      <c r="Z674" s="6"/>
      <c r="AA674" s="7"/>
      <c r="AN674" s="5"/>
    </row>
    <row r="675" ht="15.75" customHeight="1">
      <c r="A675" s="7"/>
      <c r="B675" s="7"/>
      <c r="C675" s="7"/>
      <c r="F675" s="7"/>
      <c r="G675" s="6"/>
      <c r="K675" s="5"/>
      <c r="N675" s="6"/>
      <c r="Y675" s="5"/>
      <c r="Z675" s="6"/>
      <c r="AA675" s="7"/>
      <c r="AN675" s="5"/>
    </row>
    <row r="676" ht="15.75" customHeight="1">
      <c r="A676" s="7"/>
      <c r="B676" s="7"/>
      <c r="C676" s="7"/>
      <c r="F676" s="7"/>
      <c r="G676" s="6"/>
      <c r="K676" s="5"/>
      <c r="N676" s="6"/>
      <c r="Y676" s="5"/>
      <c r="Z676" s="6"/>
      <c r="AA676" s="7"/>
      <c r="AN676" s="5"/>
    </row>
    <row r="677" ht="15.75" customHeight="1">
      <c r="A677" s="7"/>
      <c r="B677" s="7"/>
      <c r="C677" s="7"/>
      <c r="F677" s="7"/>
      <c r="G677" s="6"/>
      <c r="K677" s="5"/>
      <c r="N677" s="6"/>
      <c r="Y677" s="5"/>
      <c r="Z677" s="6"/>
      <c r="AA677" s="7"/>
      <c r="AN677" s="5"/>
    </row>
    <row r="678" ht="15.75" customHeight="1">
      <c r="A678" s="7"/>
      <c r="B678" s="7"/>
      <c r="C678" s="7"/>
      <c r="F678" s="7"/>
      <c r="G678" s="6"/>
      <c r="K678" s="5"/>
      <c r="N678" s="6"/>
      <c r="Y678" s="5"/>
      <c r="Z678" s="6"/>
      <c r="AA678" s="7"/>
      <c r="AN678" s="5"/>
    </row>
    <row r="679" ht="15.75" customHeight="1">
      <c r="A679" s="7"/>
      <c r="B679" s="7"/>
      <c r="C679" s="7"/>
      <c r="F679" s="7"/>
      <c r="G679" s="6"/>
      <c r="K679" s="5"/>
      <c r="N679" s="6"/>
      <c r="Y679" s="5"/>
      <c r="Z679" s="6"/>
      <c r="AA679" s="7"/>
      <c r="AN679" s="5"/>
    </row>
    <row r="680" ht="15.75" customHeight="1">
      <c r="A680" s="7"/>
      <c r="B680" s="7"/>
      <c r="C680" s="7"/>
      <c r="F680" s="7"/>
      <c r="G680" s="6"/>
      <c r="K680" s="5"/>
      <c r="N680" s="6"/>
      <c r="Y680" s="5"/>
      <c r="Z680" s="6"/>
      <c r="AA680" s="7"/>
      <c r="AN680" s="5"/>
    </row>
    <row r="681" ht="15.75" customHeight="1">
      <c r="A681" s="7"/>
      <c r="B681" s="7"/>
      <c r="C681" s="7"/>
      <c r="F681" s="7"/>
      <c r="G681" s="6"/>
      <c r="K681" s="5"/>
      <c r="N681" s="6"/>
      <c r="Y681" s="5"/>
      <c r="Z681" s="6"/>
      <c r="AA681" s="7"/>
      <c r="AN681" s="5"/>
    </row>
    <row r="682" ht="15.75" customHeight="1">
      <c r="A682" s="7"/>
      <c r="B682" s="7"/>
      <c r="C682" s="7"/>
      <c r="F682" s="7"/>
      <c r="G682" s="6"/>
      <c r="K682" s="5"/>
      <c r="N682" s="6"/>
      <c r="Y682" s="5"/>
      <c r="Z682" s="6"/>
      <c r="AA682" s="7"/>
      <c r="AN682" s="5"/>
    </row>
    <row r="683" ht="15.75" customHeight="1">
      <c r="A683" s="7"/>
      <c r="B683" s="7"/>
      <c r="C683" s="7"/>
      <c r="F683" s="7"/>
      <c r="G683" s="6"/>
      <c r="K683" s="5"/>
      <c r="N683" s="6"/>
      <c r="Y683" s="5"/>
      <c r="Z683" s="6"/>
      <c r="AA683" s="7"/>
      <c r="AN683" s="5"/>
    </row>
    <row r="684" ht="15.75" customHeight="1">
      <c r="A684" s="7"/>
      <c r="B684" s="7"/>
      <c r="C684" s="7"/>
      <c r="F684" s="7"/>
      <c r="G684" s="6"/>
      <c r="K684" s="5"/>
      <c r="N684" s="6"/>
      <c r="Y684" s="5"/>
      <c r="Z684" s="6"/>
      <c r="AA684" s="7"/>
      <c r="AN684" s="5"/>
    </row>
    <row r="685" ht="15.75" customHeight="1">
      <c r="A685" s="7"/>
      <c r="B685" s="7"/>
      <c r="C685" s="7"/>
      <c r="F685" s="7"/>
      <c r="G685" s="6"/>
      <c r="K685" s="5"/>
      <c r="N685" s="6"/>
      <c r="Y685" s="5"/>
      <c r="Z685" s="6"/>
      <c r="AA685" s="7"/>
      <c r="AN685" s="5"/>
    </row>
    <row r="686" ht="15.75" customHeight="1">
      <c r="A686" s="7"/>
      <c r="B686" s="7"/>
      <c r="C686" s="7"/>
      <c r="F686" s="7"/>
      <c r="G686" s="6"/>
      <c r="K686" s="5"/>
      <c r="N686" s="6"/>
      <c r="Y686" s="5"/>
      <c r="Z686" s="6"/>
      <c r="AA686" s="7"/>
      <c r="AN686" s="5"/>
    </row>
    <row r="687" ht="15.75" customHeight="1">
      <c r="A687" s="7"/>
      <c r="B687" s="7"/>
      <c r="C687" s="7"/>
      <c r="F687" s="7"/>
      <c r="G687" s="6"/>
      <c r="K687" s="5"/>
      <c r="N687" s="6"/>
      <c r="Y687" s="5"/>
      <c r="Z687" s="6"/>
      <c r="AA687" s="7"/>
      <c r="AN687" s="5"/>
    </row>
    <row r="688" ht="15.75" customHeight="1">
      <c r="A688" s="7"/>
      <c r="B688" s="7"/>
      <c r="C688" s="7"/>
      <c r="F688" s="7"/>
      <c r="G688" s="6"/>
      <c r="K688" s="5"/>
      <c r="N688" s="6"/>
      <c r="Y688" s="5"/>
      <c r="Z688" s="6"/>
      <c r="AA688" s="7"/>
      <c r="AN688" s="5"/>
    </row>
    <row r="689" ht="15.75" customHeight="1">
      <c r="A689" s="7"/>
      <c r="B689" s="7"/>
      <c r="C689" s="7"/>
      <c r="F689" s="7"/>
      <c r="G689" s="6"/>
      <c r="K689" s="5"/>
      <c r="N689" s="6"/>
      <c r="Y689" s="5"/>
      <c r="Z689" s="6"/>
      <c r="AA689" s="7"/>
      <c r="AN689" s="5"/>
    </row>
    <row r="690" ht="15.75" customHeight="1">
      <c r="A690" s="7"/>
      <c r="B690" s="7"/>
      <c r="C690" s="7"/>
      <c r="F690" s="7"/>
      <c r="G690" s="6"/>
      <c r="K690" s="5"/>
      <c r="N690" s="6"/>
      <c r="Y690" s="5"/>
      <c r="Z690" s="6"/>
      <c r="AA690" s="7"/>
      <c r="AN690" s="5"/>
    </row>
    <row r="691" ht="15.75" customHeight="1">
      <c r="A691" s="7"/>
      <c r="B691" s="7"/>
      <c r="C691" s="7"/>
      <c r="F691" s="7"/>
      <c r="G691" s="6"/>
      <c r="K691" s="5"/>
      <c r="N691" s="6"/>
      <c r="Y691" s="5"/>
      <c r="Z691" s="6"/>
      <c r="AA691" s="7"/>
      <c r="AN691" s="5"/>
    </row>
    <row r="692" ht="15.75" customHeight="1">
      <c r="A692" s="7"/>
      <c r="B692" s="7"/>
      <c r="C692" s="7"/>
      <c r="F692" s="7"/>
      <c r="G692" s="6"/>
      <c r="K692" s="5"/>
      <c r="N692" s="6"/>
      <c r="Y692" s="5"/>
      <c r="Z692" s="6"/>
      <c r="AA692" s="7"/>
      <c r="AN692" s="5"/>
    </row>
    <row r="693" ht="15.75" customHeight="1">
      <c r="A693" s="7"/>
      <c r="B693" s="7"/>
      <c r="C693" s="7"/>
      <c r="F693" s="7"/>
      <c r="G693" s="6"/>
      <c r="K693" s="5"/>
      <c r="N693" s="6"/>
      <c r="Y693" s="5"/>
      <c r="Z693" s="6"/>
      <c r="AA693" s="7"/>
      <c r="AN693" s="5"/>
    </row>
    <row r="694" ht="15.75" customHeight="1">
      <c r="A694" s="7"/>
      <c r="B694" s="7"/>
      <c r="C694" s="7"/>
      <c r="F694" s="7"/>
      <c r="G694" s="6"/>
      <c r="K694" s="5"/>
      <c r="N694" s="6"/>
      <c r="Y694" s="5"/>
      <c r="Z694" s="6"/>
      <c r="AA694" s="7"/>
      <c r="AN694" s="5"/>
    </row>
    <row r="695" ht="15.75" customHeight="1">
      <c r="A695" s="7"/>
      <c r="B695" s="7"/>
      <c r="C695" s="7"/>
      <c r="F695" s="7"/>
      <c r="G695" s="6"/>
      <c r="K695" s="5"/>
      <c r="N695" s="6"/>
      <c r="Y695" s="5"/>
      <c r="Z695" s="6"/>
      <c r="AA695" s="7"/>
      <c r="AN695" s="5"/>
    </row>
    <row r="696" ht="15.75" customHeight="1">
      <c r="A696" s="7"/>
      <c r="B696" s="7"/>
      <c r="C696" s="7"/>
      <c r="F696" s="7"/>
      <c r="G696" s="6"/>
      <c r="K696" s="5"/>
      <c r="N696" s="6"/>
      <c r="Y696" s="5"/>
      <c r="Z696" s="6"/>
      <c r="AA696" s="7"/>
      <c r="AN696" s="5"/>
    </row>
    <row r="697" ht="15.75" customHeight="1">
      <c r="A697" s="7"/>
      <c r="B697" s="7"/>
      <c r="C697" s="7"/>
      <c r="F697" s="7"/>
      <c r="G697" s="6"/>
      <c r="K697" s="5"/>
      <c r="N697" s="6"/>
      <c r="Y697" s="5"/>
      <c r="Z697" s="6"/>
      <c r="AA697" s="7"/>
      <c r="AN697" s="5"/>
    </row>
    <row r="698" ht="15.75" customHeight="1">
      <c r="A698" s="7"/>
      <c r="B698" s="7"/>
      <c r="C698" s="7"/>
      <c r="F698" s="7"/>
      <c r="G698" s="6"/>
      <c r="K698" s="5"/>
      <c r="N698" s="6"/>
      <c r="Y698" s="5"/>
      <c r="Z698" s="6"/>
      <c r="AA698" s="7"/>
      <c r="AN698" s="5"/>
    </row>
    <row r="699" ht="15.75" customHeight="1">
      <c r="A699" s="7"/>
      <c r="B699" s="7"/>
      <c r="C699" s="7"/>
      <c r="F699" s="7"/>
      <c r="G699" s="6"/>
      <c r="K699" s="5"/>
      <c r="N699" s="6"/>
      <c r="Y699" s="5"/>
      <c r="Z699" s="6"/>
      <c r="AA699" s="7"/>
      <c r="AN699" s="5"/>
    </row>
    <row r="700" ht="15.75" customHeight="1">
      <c r="A700" s="7"/>
      <c r="B700" s="7"/>
      <c r="C700" s="7"/>
      <c r="F700" s="7"/>
      <c r="G700" s="6"/>
      <c r="K700" s="5"/>
      <c r="N700" s="6"/>
      <c r="Y700" s="5"/>
      <c r="Z700" s="6"/>
      <c r="AA700" s="7"/>
      <c r="AN700" s="5"/>
    </row>
    <row r="701" ht="15.75" customHeight="1">
      <c r="A701" s="7"/>
      <c r="B701" s="7"/>
      <c r="C701" s="7"/>
      <c r="F701" s="7"/>
      <c r="G701" s="6"/>
      <c r="K701" s="5"/>
      <c r="N701" s="6"/>
      <c r="Y701" s="5"/>
      <c r="Z701" s="6"/>
      <c r="AA701" s="7"/>
      <c r="AN701" s="5"/>
    </row>
    <row r="702" ht="15.75" customHeight="1">
      <c r="A702" s="7"/>
      <c r="B702" s="7"/>
      <c r="C702" s="7"/>
      <c r="F702" s="7"/>
      <c r="G702" s="6"/>
      <c r="K702" s="5"/>
      <c r="N702" s="6"/>
      <c r="Y702" s="5"/>
      <c r="Z702" s="6"/>
      <c r="AA702" s="7"/>
      <c r="AN702" s="5"/>
    </row>
    <row r="703" ht="15.75" customHeight="1">
      <c r="A703" s="7"/>
      <c r="B703" s="7"/>
      <c r="C703" s="7"/>
      <c r="F703" s="7"/>
      <c r="G703" s="6"/>
      <c r="K703" s="5"/>
      <c r="N703" s="6"/>
      <c r="Y703" s="5"/>
      <c r="Z703" s="6"/>
      <c r="AA703" s="7"/>
      <c r="AN703" s="5"/>
    </row>
    <row r="704" ht="15.75" customHeight="1">
      <c r="A704" s="7"/>
      <c r="B704" s="7"/>
      <c r="C704" s="7"/>
      <c r="F704" s="7"/>
      <c r="G704" s="6"/>
      <c r="K704" s="5"/>
      <c r="N704" s="6"/>
      <c r="Y704" s="5"/>
      <c r="Z704" s="6"/>
      <c r="AA704" s="7"/>
      <c r="AN704" s="5"/>
    </row>
    <row r="705" ht="15.75" customHeight="1">
      <c r="A705" s="7"/>
      <c r="B705" s="7"/>
      <c r="C705" s="7"/>
      <c r="F705" s="7"/>
      <c r="G705" s="6"/>
      <c r="K705" s="5"/>
      <c r="N705" s="6"/>
      <c r="Y705" s="5"/>
      <c r="Z705" s="6"/>
      <c r="AA705" s="7"/>
      <c r="AN705" s="5"/>
    </row>
    <row r="706" ht="15.75" customHeight="1">
      <c r="A706" s="7"/>
      <c r="B706" s="7"/>
      <c r="C706" s="7"/>
      <c r="F706" s="7"/>
      <c r="G706" s="6"/>
      <c r="K706" s="5"/>
      <c r="N706" s="6"/>
      <c r="Y706" s="5"/>
      <c r="Z706" s="6"/>
      <c r="AA706" s="7"/>
      <c r="AN706" s="5"/>
    </row>
    <row r="707" ht="15.75" customHeight="1">
      <c r="A707" s="7"/>
      <c r="B707" s="7"/>
      <c r="C707" s="7"/>
      <c r="F707" s="7"/>
      <c r="G707" s="6"/>
      <c r="K707" s="5"/>
      <c r="N707" s="6"/>
      <c r="Y707" s="5"/>
      <c r="Z707" s="6"/>
      <c r="AA707" s="7"/>
      <c r="AN707" s="5"/>
    </row>
    <row r="708" ht="15.75" customHeight="1">
      <c r="A708" s="7"/>
      <c r="B708" s="7"/>
      <c r="C708" s="7"/>
      <c r="F708" s="7"/>
      <c r="G708" s="6"/>
      <c r="K708" s="5"/>
      <c r="N708" s="6"/>
      <c r="Y708" s="5"/>
      <c r="Z708" s="6"/>
      <c r="AA708" s="7"/>
      <c r="AN708" s="5"/>
    </row>
    <row r="709" ht="15.75" customHeight="1">
      <c r="A709" s="7"/>
      <c r="B709" s="7"/>
      <c r="C709" s="7"/>
      <c r="F709" s="7"/>
      <c r="G709" s="6"/>
      <c r="K709" s="5"/>
      <c r="N709" s="6"/>
      <c r="Y709" s="5"/>
      <c r="Z709" s="6"/>
      <c r="AA709" s="7"/>
      <c r="AN709" s="5"/>
    </row>
    <row r="710" ht="15.75" customHeight="1">
      <c r="A710" s="7"/>
      <c r="B710" s="7"/>
      <c r="C710" s="7"/>
      <c r="F710" s="7"/>
      <c r="G710" s="6"/>
      <c r="K710" s="5"/>
      <c r="N710" s="6"/>
      <c r="Y710" s="5"/>
      <c r="Z710" s="6"/>
      <c r="AA710" s="7"/>
      <c r="AN710" s="5"/>
    </row>
    <row r="711" ht="15.75" customHeight="1">
      <c r="A711" s="7"/>
      <c r="B711" s="7"/>
      <c r="C711" s="7"/>
      <c r="F711" s="7"/>
      <c r="G711" s="6"/>
      <c r="K711" s="5"/>
      <c r="N711" s="6"/>
      <c r="Y711" s="5"/>
      <c r="Z711" s="6"/>
      <c r="AA711" s="7"/>
      <c r="AN711" s="5"/>
    </row>
    <row r="712" ht="15.75" customHeight="1">
      <c r="A712" s="7"/>
      <c r="B712" s="7"/>
      <c r="C712" s="7"/>
      <c r="F712" s="7"/>
      <c r="G712" s="6"/>
      <c r="K712" s="5"/>
      <c r="N712" s="6"/>
      <c r="Y712" s="5"/>
      <c r="Z712" s="6"/>
      <c r="AA712" s="7"/>
      <c r="AN712" s="5"/>
    </row>
    <row r="713" ht="15.75" customHeight="1">
      <c r="A713" s="7"/>
      <c r="B713" s="7"/>
      <c r="C713" s="7"/>
      <c r="F713" s="7"/>
      <c r="G713" s="6"/>
      <c r="K713" s="5"/>
      <c r="N713" s="6"/>
      <c r="Y713" s="5"/>
      <c r="Z713" s="6"/>
      <c r="AA713" s="7"/>
      <c r="AN713" s="5"/>
    </row>
    <row r="714" ht="15.75" customHeight="1">
      <c r="A714" s="7"/>
      <c r="B714" s="7"/>
      <c r="C714" s="7"/>
      <c r="F714" s="7"/>
      <c r="G714" s="6"/>
      <c r="K714" s="5"/>
      <c r="N714" s="6"/>
      <c r="Y714" s="5"/>
      <c r="Z714" s="6"/>
      <c r="AA714" s="7"/>
      <c r="AN714" s="5"/>
    </row>
    <row r="715" ht="15.75" customHeight="1">
      <c r="A715" s="7"/>
      <c r="B715" s="7"/>
      <c r="C715" s="7"/>
      <c r="F715" s="7"/>
      <c r="G715" s="6"/>
      <c r="K715" s="5"/>
      <c r="N715" s="6"/>
      <c r="Y715" s="5"/>
      <c r="Z715" s="6"/>
      <c r="AA715" s="7"/>
      <c r="AN715" s="5"/>
    </row>
    <row r="716" ht="15.75" customHeight="1">
      <c r="A716" s="7"/>
      <c r="B716" s="7"/>
      <c r="C716" s="7"/>
      <c r="F716" s="7"/>
      <c r="G716" s="6"/>
      <c r="K716" s="5"/>
      <c r="N716" s="6"/>
      <c r="Y716" s="5"/>
      <c r="Z716" s="6"/>
      <c r="AA716" s="7"/>
      <c r="AN716" s="5"/>
    </row>
    <row r="717" ht="15.75" customHeight="1">
      <c r="A717" s="7"/>
      <c r="B717" s="7"/>
      <c r="C717" s="7"/>
      <c r="F717" s="7"/>
      <c r="G717" s="6"/>
      <c r="K717" s="5"/>
      <c r="N717" s="6"/>
      <c r="Y717" s="5"/>
      <c r="Z717" s="6"/>
      <c r="AA717" s="7"/>
      <c r="AN717" s="5"/>
    </row>
    <row r="718" ht="15.75" customHeight="1">
      <c r="A718" s="7"/>
      <c r="B718" s="7"/>
      <c r="C718" s="7"/>
      <c r="F718" s="7"/>
      <c r="G718" s="6"/>
      <c r="K718" s="5"/>
      <c r="N718" s="6"/>
      <c r="Y718" s="5"/>
      <c r="Z718" s="6"/>
      <c r="AA718" s="7"/>
      <c r="AN718" s="5"/>
    </row>
    <row r="719" ht="15.75" customHeight="1">
      <c r="A719" s="7"/>
      <c r="B719" s="7"/>
      <c r="C719" s="7"/>
      <c r="F719" s="7"/>
      <c r="G719" s="6"/>
      <c r="K719" s="5"/>
      <c r="N719" s="6"/>
      <c r="Y719" s="5"/>
      <c r="Z719" s="6"/>
      <c r="AA719" s="7"/>
      <c r="AN719" s="5"/>
    </row>
    <row r="720" ht="15.75" customHeight="1">
      <c r="A720" s="7"/>
      <c r="B720" s="7"/>
      <c r="C720" s="7"/>
      <c r="F720" s="7"/>
      <c r="G720" s="6"/>
      <c r="K720" s="5"/>
      <c r="N720" s="6"/>
      <c r="Y720" s="5"/>
      <c r="Z720" s="6"/>
      <c r="AA720" s="7"/>
      <c r="AN720" s="5"/>
    </row>
    <row r="721" ht="15.75" customHeight="1">
      <c r="A721" s="7"/>
      <c r="B721" s="7"/>
      <c r="C721" s="7"/>
      <c r="F721" s="7"/>
      <c r="G721" s="6"/>
      <c r="K721" s="5"/>
      <c r="N721" s="6"/>
      <c r="Y721" s="5"/>
      <c r="Z721" s="6"/>
      <c r="AA721" s="7"/>
      <c r="AN721" s="5"/>
    </row>
    <row r="722" ht="15.75" customHeight="1">
      <c r="A722" s="7"/>
      <c r="B722" s="7"/>
      <c r="C722" s="7"/>
      <c r="F722" s="7"/>
      <c r="G722" s="6"/>
      <c r="K722" s="5"/>
      <c r="N722" s="6"/>
      <c r="Y722" s="5"/>
      <c r="Z722" s="6"/>
      <c r="AA722" s="7"/>
      <c r="AN722" s="5"/>
    </row>
    <row r="723" ht="15.75" customHeight="1">
      <c r="A723" s="7"/>
      <c r="B723" s="7"/>
      <c r="C723" s="7"/>
      <c r="F723" s="7"/>
      <c r="G723" s="6"/>
      <c r="K723" s="5"/>
      <c r="N723" s="6"/>
      <c r="Y723" s="5"/>
      <c r="Z723" s="6"/>
      <c r="AA723" s="7"/>
      <c r="AN723" s="5"/>
    </row>
    <row r="724" ht="15.75" customHeight="1">
      <c r="A724" s="7"/>
      <c r="B724" s="7"/>
      <c r="C724" s="7"/>
      <c r="F724" s="7"/>
      <c r="G724" s="6"/>
      <c r="K724" s="5"/>
      <c r="N724" s="6"/>
      <c r="Y724" s="5"/>
      <c r="Z724" s="6"/>
      <c r="AA724" s="7"/>
      <c r="AN724" s="5"/>
    </row>
    <row r="725" ht="15.75" customHeight="1">
      <c r="A725" s="7"/>
      <c r="B725" s="7"/>
      <c r="C725" s="7"/>
      <c r="F725" s="7"/>
      <c r="G725" s="6"/>
      <c r="K725" s="5"/>
      <c r="N725" s="6"/>
      <c r="Y725" s="5"/>
      <c r="Z725" s="6"/>
      <c r="AA725" s="7"/>
      <c r="AN725" s="5"/>
    </row>
    <row r="726" ht="15.75" customHeight="1">
      <c r="A726" s="7"/>
      <c r="B726" s="7"/>
      <c r="C726" s="7"/>
      <c r="F726" s="7"/>
      <c r="G726" s="6"/>
      <c r="K726" s="5"/>
      <c r="N726" s="6"/>
      <c r="Y726" s="5"/>
      <c r="Z726" s="6"/>
      <c r="AA726" s="7"/>
      <c r="AN726" s="5"/>
    </row>
    <row r="727" ht="15.75" customHeight="1">
      <c r="A727" s="7"/>
      <c r="B727" s="7"/>
      <c r="C727" s="7"/>
      <c r="F727" s="7"/>
      <c r="G727" s="6"/>
      <c r="K727" s="5"/>
      <c r="N727" s="6"/>
      <c r="Y727" s="5"/>
      <c r="Z727" s="6"/>
      <c r="AA727" s="7"/>
      <c r="AN727" s="5"/>
    </row>
    <row r="728" ht="15.75" customHeight="1">
      <c r="A728" s="7"/>
      <c r="B728" s="7"/>
      <c r="C728" s="7"/>
      <c r="F728" s="7"/>
      <c r="G728" s="6"/>
      <c r="K728" s="5"/>
      <c r="N728" s="6"/>
      <c r="Y728" s="5"/>
      <c r="Z728" s="6"/>
      <c r="AA728" s="7"/>
      <c r="AN728" s="5"/>
    </row>
    <row r="729" ht="15.75" customHeight="1">
      <c r="A729" s="7"/>
      <c r="B729" s="7"/>
      <c r="C729" s="7"/>
      <c r="F729" s="7"/>
      <c r="G729" s="6"/>
      <c r="K729" s="5"/>
      <c r="N729" s="6"/>
      <c r="Y729" s="5"/>
      <c r="Z729" s="6"/>
      <c r="AA729" s="7"/>
      <c r="AN729" s="5"/>
    </row>
    <row r="730" ht="15.75" customHeight="1">
      <c r="A730" s="7"/>
      <c r="B730" s="7"/>
      <c r="C730" s="7"/>
      <c r="F730" s="7"/>
      <c r="G730" s="6"/>
      <c r="K730" s="5"/>
      <c r="N730" s="6"/>
      <c r="Y730" s="5"/>
      <c r="Z730" s="6"/>
      <c r="AA730" s="7"/>
      <c r="AN730" s="5"/>
    </row>
    <row r="731" ht="15.75" customHeight="1">
      <c r="A731" s="7"/>
      <c r="B731" s="7"/>
      <c r="C731" s="7"/>
      <c r="F731" s="7"/>
      <c r="G731" s="6"/>
      <c r="K731" s="5"/>
      <c r="N731" s="6"/>
      <c r="Y731" s="5"/>
      <c r="Z731" s="6"/>
      <c r="AA731" s="7"/>
      <c r="AN731" s="5"/>
    </row>
    <row r="732" ht="15.75" customHeight="1">
      <c r="A732" s="7"/>
      <c r="B732" s="7"/>
      <c r="C732" s="7"/>
      <c r="F732" s="7"/>
      <c r="G732" s="6"/>
      <c r="K732" s="5"/>
      <c r="N732" s="6"/>
      <c r="Y732" s="5"/>
      <c r="Z732" s="6"/>
      <c r="AA732" s="7"/>
      <c r="AN732" s="5"/>
    </row>
    <row r="733" ht="15.75" customHeight="1">
      <c r="A733" s="7"/>
      <c r="B733" s="7"/>
      <c r="C733" s="7"/>
      <c r="F733" s="7"/>
      <c r="G733" s="6"/>
      <c r="K733" s="5"/>
      <c r="N733" s="6"/>
      <c r="Y733" s="5"/>
      <c r="Z733" s="6"/>
      <c r="AA733" s="7"/>
      <c r="AN733" s="5"/>
    </row>
    <row r="734" ht="15.75" customHeight="1">
      <c r="A734" s="7"/>
      <c r="B734" s="7"/>
      <c r="C734" s="7"/>
      <c r="F734" s="7"/>
      <c r="G734" s="6"/>
      <c r="K734" s="5"/>
      <c r="N734" s="6"/>
      <c r="Y734" s="5"/>
      <c r="Z734" s="6"/>
      <c r="AA734" s="7"/>
      <c r="AN734" s="5"/>
    </row>
    <row r="735" ht="15.75" customHeight="1">
      <c r="A735" s="7"/>
      <c r="B735" s="7"/>
      <c r="C735" s="7"/>
      <c r="F735" s="7"/>
      <c r="G735" s="6"/>
      <c r="K735" s="5"/>
      <c r="N735" s="6"/>
      <c r="Y735" s="5"/>
      <c r="Z735" s="6"/>
      <c r="AA735" s="7"/>
      <c r="AN735" s="5"/>
    </row>
    <row r="736" ht="15.75" customHeight="1">
      <c r="A736" s="7"/>
      <c r="B736" s="7"/>
      <c r="C736" s="7"/>
      <c r="F736" s="7"/>
      <c r="G736" s="6"/>
      <c r="K736" s="5"/>
      <c r="N736" s="6"/>
      <c r="Y736" s="5"/>
      <c r="Z736" s="6"/>
      <c r="AA736" s="7"/>
      <c r="AN736" s="5"/>
    </row>
    <row r="737" ht="15.75" customHeight="1">
      <c r="A737" s="7"/>
      <c r="B737" s="7"/>
      <c r="C737" s="7"/>
      <c r="F737" s="7"/>
      <c r="G737" s="6"/>
      <c r="K737" s="5"/>
      <c r="N737" s="6"/>
      <c r="Y737" s="5"/>
      <c r="Z737" s="6"/>
      <c r="AA737" s="7"/>
      <c r="AN737" s="5"/>
    </row>
    <row r="738" ht="15.75" customHeight="1">
      <c r="A738" s="7"/>
      <c r="B738" s="7"/>
      <c r="C738" s="7"/>
      <c r="F738" s="7"/>
      <c r="G738" s="6"/>
      <c r="K738" s="5"/>
      <c r="N738" s="6"/>
      <c r="Y738" s="5"/>
      <c r="Z738" s="6"/>
      <c r="AA738" s="7"/>
      <c r="AN738" s="5"/>
    </row>
    <row r="739" ht="15.75" customHeight="1">
      <c r="A739" s="7"/>
      <c r="B739" s="7"/>
      <c r="C739" s="7"/>
      <c r="F739" s="7"/>
      <c r="G739" s="6"/>
      <c r="K739" s="5"/>
      <c r="N739" s="6"/>
      <c r="Y739" s="5"/>
      <c r="Z739" s="6"/>
      <c r="AA739" s="7"/>
      <c r="AN739" s="5"/>
    </row>
    <row r="740" ht="15.75" customHeight="1">
      <c r="A740" s="7"/>
      <c r="B740" s="7"/>
      <c r="C740" s="7"/>
      <c r="F740" s="7"/>
      <c r="G740" s="6"/>
      <c r="K740" s="5"/>
      <c r="N740" s="6"/>
      <c r="Y740" s="5"/>
      <c r="Z740" s="6"/>
      <c r="AA740" s="7"/>
      <c r="AN740" s="5"/>
    </row>
    <row r="741" ht="15.75" customHeight="1">
      <c r="A741" s="7"/>
      <c r="B741" s="7"/>
      <c r="C741" s="7"/>
      <c r="F741" s="7"/>
      <c r="G741" s="6"/>
      <c r="K741" s="5"/>
      <c r="N741" s="6"/>
      <c r="Y741" s="5"/>
      <c r="Z741" s="6"/>
      <c r="AA741" s="7"/>
      <c r="AN741" s="5"/>
    </row>
    <row r="742" ht="15.75" customHeight="1">
      <c r="A742" s="7"/>
      <c r="B742" s="7"/>
      <c r="C742" s="7"/>
      <c r="F742" s="7"/>
      <c r="G742" s="6"/>
      <c r="K742" s="5"/>
      <c r="N742" s="6"/>
      <c r="Y742" s="5"/>
      <c r="Z742" s="6"/>
      <c r="AA742" s="7"/>
      <c r="AN742" s="5"/>
    </row>
    <row r="743" ht="15.75" customHeight="1">
      <c r="A743" s="7"/>
      <c r="B743" s="7"/>
      <c r="C743" s="7"/>
      <c r="F743" s="7"/>
      <c r="G743" s="6"/>
      <c r="K743" s="5"/>
      <c r="N743" s="6"/>
      <c r="Y743" s="5"/>
      <c r="Z743" s="6"/>
      <c r="AA743" s="7"/>
      <c r="AN743" s="5"/>
    </row>
    <row r="744" ht="15.75" customHeight="1">
      <c r="A744" s="7"/>
      <c r="B744" s="7"/>
      <c r="C744" s="7"/>
      <c r="F744" s="7"/>
      <c r="G744" s="6"/>
      <c r="K744" s="5"/>
      <c r="N744" s="6"/>
      <c r="Y744" s="5"/>
      <c r="Z744" s="6"/>
      <c r="AA744" s="7"/>
      <c r="AN744" s="5"/>
    </row>
    <row r="745" ht="15.75" customHeight="1">
      <c r="A745" s="7"/>
      <c r="B745" s="7"/>
      <c r="C745" s="7"/>
      <c r="F745" s="7"/>
      <c r="G745" s="6"/>
      <c r="K745" s="5"/>
      <c r="N745" s="6"/>
      <c r="Y745" s="5"/>
      <c r="Z745" s="6"/>
      <c r="AA745" s="7"/>
      <c r="AN745" s="5"/>
    </row>
    <row r="746" ht="15.75" customHeight="1">
      <c r="A746" s="7"/>
      <c r="B746" s="7"/>
      <c r="C746" s="7"/>
      <c r="F746" s="7"/>
      <c r="G746" s="6"/>
      <c r="K746" s="5"/>
      <c r="N746" s="6"/>
      <c r="Y746" s="5"/>
      <c r="Z746" s="6"/>
      <c r="AA746" s="7"/>
      <c r="AN746" s="5"/>
    </row>
    <row r="747" ht="15.75" customHeight="1">
      <c r="A747" s="7"/>
      <c r="B747" s="7"/>
      <c r="C747" s="7"/>
      <c r="F747" s="7"/>
      <c r="G747" s="6"/>
      <c r="K747" s="5"/>
      <c r="N747" s="6"/>
      <c r="Y747" s="5"/>
      <c r="Z747" s="6"/>
      <c r="AA747" s="7"/>
      <c r="AN747" s="5"/>
    </row>
    <row r="748" ht="15.75" customHeight="1">
      <c r="A748" s="7"/>
      <c r="B748" s="7"/>
      <c r="C748" s="7"/>
      <c r="F748" s="7"/>
      <c r="G748" s="6"/>
      <c r="K748" s="5"/>
      <c r="N748" s="6"/>
      <c r="Y748" s="5"/>
      <c r="Z748" s="6"/>
      <c r="AA748" s="7"/>
      <c r="AN748" s="5"/>
    </row>
    <row r="749" ht="15.75" customHeight="1">
      <c r="A749" s="7"/>
      <c r="B749" s="7"/>
      <c r="C749" s="7"/>
      <c r="F749" s="7"/>
      <c r="G749" s="6"/>
      <c r="K749" s="5"/>
      <c r="N749" s="6"/>
      <c r="Y749" s="5"/>
      <c r="Z749" s="6"/>
      <c r="AA749" s="7"/>
      <c r="AN749" s="5"/>
    </row>
    <row r="750" ht="15.75" customHeight="1">
      <c r="A750" s="7"/>
      <c r="B750" s="7"/>
      <c r="C750" s="7"/>
      <c r="F750" s="7"/>
      <c r="G750" s="6"/>
      <c r="K750" s="5"/>
      <c r="N750" s="6"/>
      <c r="Y750" s="5"/>
      <c r="Z750" s="6"/>
      <c r="AA750" s="7"/>
      <c r="AN750" s="5"/>
    </row>
    <row r="751" ht="15.75" customHeight="1">
      <c r="A751" s="7"/>
      <c r="B751" s="7"/>
      <c r="C751" s="7"/>
      <c r="F751" s="7"/>
      <c r="G751" s="6"/>
      <c r="K751" s="5"/>
      <c r="N751" s="6"/>
      <c r="Y751" s="5"/>
      <c r="Z751" s="6"/>
      <c r="AA751" s="7"/>
      <c r="AN751" s="5"/>
    </row>
    <row r="752" ht="15.75" customHeight="1">
      <c r="A752" s="7"/>
      <c r="B752" s="7"/>
      <c r="C752" s="7"/>
      <c r="F752" s="7"/>
      <c r="G752" s="6"/>
      <c r="K752" s="5"/>
      <c r="N752" s="6"/>
      <c r="Y752" s="5"/>
      <c r="Z752" s="6"/>
      <c r="AA752" s="7"/>
      <c r="AN752" s="5"/>
    </row>
    <row r="753" ht="15.75" customHeight="1">
      <c r="A753" s="7"/>
      <c r="B753" s="7"/>
      <c r="C753" s="7"/>
      <c r="F753" s="7"/>
      <c r="G753" s="6"/>
      <c r="K753" s="5"/>
      <c r="N753" s="6"/>
      <c r="Y753" s="5"/>
      <c r="Z753" s="6"/>
      <c r="AA753" s="7"/>
      <c r="AN753" s="5"/>
    </row>
    <row r="754" ht="15.75" customHeight="1">
      <c r="A754" s="7"/>
      <c r="B754" s="7"/>
      <c r="C754" s="7"/>
      <c r="F754" s="7"/>
      <c r="G754" s="6"/>
      <c r="K754" s="5"/>
      <c r="N754" s="6"/>
      <c r="Y754" s="5"/>
      <c r="Z754" s="6"/>
      <c r="AA754" s="7"/>
      <c r="AN754" s="5"/>
    </row>
    <row r="755" ht="15.75" customHeight="1">
      <c r="A755" s="7"/>
      <c r="B755" s="7"/>
      <c r="C755" s="7"/>
      <c r="F755" s="7"/>
      <c r="G755" s="6"/>
      <c r="K755" s="5"/>
      <c r="N755" s="6"/>
      <c r="Y755" s="5"/>
      <c r="Z755" s="6"/>
      <c r="AA755" s="7"/>
      <c r="AN755" s="5"/>
    </row>
    <row r="756" ht="15.75" customHeight="1">
      <c r="A756" s="7"/>
      <c r="B756" s="7"/>
      <c r="C756" s="7"/>
      <c r="F756" s="7"/>
      <c r="G756" s="6"/>
      <c r="K756" s="5"/>
      <c r="N756" s="6"/>
      <c r="Y756" s="5"/>
      <c r="Z756" s="6"/>
      <c r="AA756" s="7"/>
      <c r="AN756" s="5"/>
    </row>
    <row r="757" ht="15.75" customHeight="1">
      <c r="A757" s="7"/>
      <c r="B757" s="7"/>
      <c r="C757" s="7"/>
      <c r="F757" s="7"/>
      <c r="G757" s="6"/>
      <c r="K757" s="5"/>
      <c r="N757" s="6"/>
      <c r="Y757" s="5"/>
      <c r="Z757" s="6"/>
      <c r="AA757" s="7"/>
      <c r="AN757" s="5"/>
    </row>
    <row r="758" ht="15.75" customHeight="1">
      <c r="A758" s="7"/>
      <c r="B758" s="7"/>
      <c r="C758" s="7"/>
      <c r="F758" s="7"/>
      <c r="G758" s="6"/>
      <c r="K758" s="5"/>
      <c r="N758" s="6"/>
      <c r="Y758" s="5"/>
      <c r="Z758" s="6"/>
      <c r="AA758" s="7"/>
      <c r="AN758" s="5"/>
    </row>
    <row r="759" ht="15.75" customHeight="1">
      <c r="A759" s="7"/>
      <c r="B759" s="7"/>
      <c r="C759" s="7"/>
      <c r="F759" s="7"/>
      <c r="G759" s="6"/>
      <c r="K759" s="5"/>
      <c r="N759" s="6"/>
      <c r="Y759" s="5"/>
      <c r="Z759" s="6"/>
      <c r="AA759" s="7"/>
      <c r="AN759" s="5"/>
    </row>
    <row r="760" ht="15.75" customHeight="1">
      <c r="A760" s="7"/>
      <c r="B760" s="7"/>
      <c r="C760" s="7"/>
      <c r="F760" s="7"/>
      <c r="G760" s="6"/>
      <c r="K760" s="5"/>
      <c r="N760" s="6"/>
      <c r="Y760" s="5"/>
      <c r="Z760" s="6"/>
      <c r="AA760" s="7"/>
      <c r="AN760" s="5"/>
    </row>
    <row r="761" ht="15.75" customHeight="1">
      <c r="A761" s="7"/>
      <c r="B761" s="7"/>
      <c r="C761" s="7"/>
      <c r="F761" s="7"/>
      <c r="G761" s="6"/>
      <c r="K761" s="5"/>
      <c r="N761" s="6"/>
      <c r="Y761" s="5"/>
      <c r="Z761" s="6"/>
      <c r="AA761" s="7"/>
      <c r="AN761" s="5"/>
    </row>
    <row r="762" ht="15.75" customHeight="1">
      <c r="A762" s="7"/>
      <c r="B762" s="7"/>
      <c r="C762" s="7"/>
      <c r="F762" s="7"/>
      <c r="G762" s="6"/>
      <c r="K762" s="5"/>
      <c r="N762" s="6"/>
      <c r="Y762" s="5"/>
      <c r="Z762" s="6"/>
      <c r="AA762" s="7"/>
      <c r="AN762" s="5"/>
    </row>
    <row r="763" ht="15.75" customHeight="1">
      <c r="A763" s="7"/>
      <c r="B763" s="7"/>
      <c r="C763" s="7"/>
      <c r="F763" s="7"/>
      <c r="G763" s="6"/>
      <c r="K763" s="5"/>
      <c r="N763" s="6"/>
      <c r="Y763" s="5"/>
      <c r="Z763" s="6"/>
      <c r="AA763" s="7"/>
      <c r="AN763" s="5"/>
    </row>
    <row r="764" ht="15.75" customHeight="1">
      <c r="A764" s="7"/>
      <c r="B764" s="7"/>
      <c r="C764" s="7"/>
      <c r="F764" s="7"/>
      <c r="G764" s="6"/>
      <c r="K764" s="5"/>
      <c r="N764" s="6"/>
      <c r="Y764" s="5"/>
      <c r="Z764" s="6"/>
      <c r="AA764" s="7"/>
      <c r="AN764" s="5"/>
    </row>
    <row r="765" ht="15.75" customHeight="1">
      <c r="A765" s="7"/>
      <c r="B765" s="7"/>
      <c r="C765" s="7"/>
      <c r="F765" s="7"/>
      <c r="G765" s="6"/>
      <c r="K765" s="5"/>
      <c r="N765" s="6"/>
      <c r="Y765" s="5"/>
      <c r="Z765" s="6"/>
      <c r="AA765" s="7"/>
      <c r="AN765" s="5"/>
    </row>
    <row r="766" ht="15.75" customHeight="1">
      <c r="A766" s="7"/>
      <c r="B766" s="7"/>
      <c r="C766" s="7"/>
      <c r="F766" s="7"/>
      <c r="G766" s="6"/>
      <c r="K766" s="5"/>
      <c r="N766" s="6"/>
      <c r="Y766" s="5"/>
      <c r="Z766" s="6"/>
      <c r="AA766" s="7"/>
      <c r="AN766" s="5"/>
    </row>
    <row r="767" ht="15.75" customHeight="1">
      <c r="A767" s="7"/>
      <c r="B767" s="7"/>
      <c r="C767" s="7"/>
      <c r="F767" s="7"/>
      <c r="G767" s="6"/>
      <c r="K767" s="5"/>
      <c r="N767" s="6"/>
      <c r="Y767" s="5"/>
      <c r="Z767" s="6"/>
      <c r="AA767" s="7"/>
      <c r="AN767" s="5"/>
    </row>
    <row r="768" ht="15.75" customHeight="1">
      <c r="A768" s="7"/>
      <c r="B768" s="7"/>
      <c r="C768" s="7"/>
      <c r="F768" s="7"/>
      <c r="G768" s="6"/>
      <c r="K768" s="5"/>
      <c r="N768" s="6"/>
      <c r="Y768" s="5"/>
      <c r="Z768" s="6"/>
      <c r="AA768" s="7"/>
      <c r="AN768" s="5"/>
    </row>
    <row r="769" ht="15.75" customHeight="1">
      <c r="A769" s="7"/>
      <c r="B769" s="7"/>
      <c r="C769" s="7"/>
      <c r="F769" s="7"/>
      <c r="G769" s="6"/>
      <c r="K769" s="5"/>
      <c r="N769" s="6"/>
      <c r="Y769" s="5"/>
      <c r="Z769" s="6"/>
      <c r="AA769" s="7"/>
      <c r="AN769" s="5"/>
    </row>
    <row r="770" ht="15.75" customHeight="1">
      <c r="A770" s="7"/>
      <c r="B770" s="7"/>
      <c r="C770" s="7"/>
      <c r="F770" s="7"/>
      <c r="G770" s="6"/>
      <c r="K770" s="5"/>
      <c r="N770" s="6"/>
      <c r="Y770" s="5"/>
      <c r="Z770" s="6"/>
      <c r="AA770" s="7"/>
      <c r="AN770" s="5"/>
    </row>
    <row r="771" ht="15.75" customHeight="1">
      <c r="A771" s="7"/>
      <c r="B771" s="7"/>
      <c r="C771" s="7"/>
      <c r="F771" s="7"/>
      <c r="G771" s="6"/>
      <c r="K771" s="5"/>
      <c r="N771" s="6"/>
      <c r="Y771" s="5"/>
      <c r="Z771" s="6"/>
      <c r="AA771" s="7"/>
      <c r="AN771" s="5"/>
    </row>
    <row r="772" ht="15.75" customHeight="1">
      <c r="A772" s="7"/>
      <c r="B772" s="7"/>
      <c r="C772" s="7"/>
      <c r="F772" s="7"/>
      <c r="G772" s="6"/>
      <c r="K772" s="5"/>
      <c r="N772" s="6"/>
      <c r="Y772" s="5"/>
      <c r="Z772" s="6"/>
      <c r="AA772" s="7"/>
      <c r="AN772" s="5"/>
    </row>
    <row r="773" ht="15.75" customHeight="1">
      <c r="A773" s="7"/>
      <c r="B773" s="7"/>
      <c r="C773" s="7"/>
      <c r="F773" s="7"/>
      <c r="G773" s="6"/>
      <c r="K773" s="5"/>
      <c r="N773" s="6"/>
      <c r="Y773" s="5"/>
      <c r="Z773" s="6"/>
      <c r="AA773" s="7"/>
      <c r="AN773" s="5"/>
    </row>
    <row r="774" ht="15.75" customHeight="1">
      <c r="A774" s="7"/>
      <c r="B774" s="7"/>
      <c r="C774" s="7"/>
      <c r="F774" s="7"/>
      <c r="G774" s="6"/>
      <c r="K774" s="5"/>
      <c r="N774" s="6"/>
      <c r="Y774" s="5"/>
      <c r="Z774" s="6"/>
      <c r="AA774" s="7"/>
      <c r="AN774" s="5"/>
    </row>
    <row r="775" ht="15.75" customHeight="1">
      <c r="A775" s="7"/>
      <c r="B775" s="7"/>
      <c r="C775" s="7"/>
      <c r="F775" s="7"/>
      <c r="G775" s="6"/>
      <c r="K775" s="5"/>
      <c r="N775" s="6"/>
      <c r="Y775" s="5"/>
      <c r="Z775" s="6"/>
      <c r="AA775" s="7"/>
      <c r="AN775" s="5"/>
    </row>
    <row r="776" ht="15.75" customHeight="1">
      <c r="A776" s="7"/>
      <c r="B776" s="7"/>
      <c r="C776" s="7"/>
      <c r="F776" s="7"/>
      <c r="G776" s="6"/>
      <c r="K776" s="5"/>
      <c r="N776" s="6"/>
      <c r="Y776" s="5"/>
      <c r="Z776" s="6"/>
      <c r="AA776" s="7"/>
      <c r="AN776" s="5"/>
    </row>
    <row r="777" ht="15.75" customHeight="1">
      <c r="A777" s="7"/>
      <c r="B777" s="7"/>
      <c r="C777" s="7"/>
      <c r="F777" s="7"/>
      <c r="G777" s="6"/>
      <c r="K777" s="5"/>
      <c r="N777" s="6"/>
      <c r="Y777" s="5"/>
      <c r="Z777" s="6"/>
      <c r="AA777" s="7"/>
      <c r="AN777" s="5"/>
    </row>
    <row r="778" ht="15.75" customHeight="1">
      <c r="A778" s="7"/>
      <c r="B778" s="7"/>
      <c r="C778" s="7"/>
      <c r="F778" s="7"/>
      <c r="G778" s="6"/>
      <c r="K778" s="5"/>
      <c r="N778" s="6"/>
      <c r="Y778" s="5"/>
      <c r="Z778" s="6"/>
      <c r="AA778" s="7"/>
      <c r="AN778" s="5"/>
    </row>
    <row r="779" ht="15.75" customHeight="1">
      <c r="A779" s="7"/>
      <c r="B779" s="7"/>
      <c r="C779" s="7"/>
      <c r="F779" s="7"/>
      <c r="G779" s="6"/>
      <c r="K779" s="5"/>
      <c r="N779" s="6"/>
      <c r="Y779" s="5"/>
      <c r="Z779" s="6"/>
      <c r="AA779" s="7"/>
      <c r="AN779" s="5"/>
    </row>
    <row r="780" ht="15.75" customHeight="1">
      <c r="A780" s="7"/>
      <c r="B780" s="7"/>
      <c r="C780" s="7"/>
      <c r="F780" s="7"/>
      <c r="G780" s="6"/>
      <c r="K780" s="5"/>
      <c r="N780" s="6"/>
      <c r="Y780" s="5"/>
      <c r="Z780" s="6"/>
      <c r="AA780" s="7"/>
      <c r="AN780" s="5"/>
    </row>
    <row r="781" ht="15.75" customHeight="1">
      <c r="A781" s="7"/>
      <c r="B781" s="7"/>
      <c r="C781" s="7"/>
      <c r="F781" s="7"/>
      <c r="G781" s="6"/>
      <c r="K781" s="5"/>
      <c r="N781" s="6"/>
      <c r="Y781" s="5"/>
      <c r="Z781" s="6"/>
      <c r="AA781" s="7"/>
      <c r="AN781" s="5"/>
    </row>
    <row r="782" ht="15.75" customHeight="1">
      <c r="A782" s="7"/>
      <c r="B782" s="7"/>
      <c r="C782" s="7"/>
      <c r="F782" s="7"/>
      <c r="G782" s="6"/>
      <c r="K782" s="5"/>
      <c r="N782" s="6"/>
      <c r="Y782" s="5"/>
      <c r="Z782" s="6"/>
      <c r="AA782" s="7"/>
      <c r="AN782" s="5"/>
    </row>
    <row r="783" ht="15.75" customHeight="1">
      <c r="A783" s="7"/>
      <c r="B783" s="7"/>
      <c r="C783" s="7"/>
      <c r="F783" s="7"/>
      <c r="G783" s="6"/>
      <c r="K783" s="5"/>
      <c r="N783" s="6"/>
      <c r="Y783" s="5"/>
      <c r="Z783" s="6"/>
      <c r="AA783" s="7"/>
      <c r="AN783" s="5"/>
    </row>
    <row r="784" ht="15.75" customHeight="1">
      <c r="A784" s="7"/>
      <c r="B784" s="7"/>
      <c r="C784" s="7"/>
      <c r="F784" s="7"/>
      <c r="G784" s="6"/>
      <c r="K784" s="5"/>
      <c r="N784" s="6"/>
      <c r="Y784" s="5"/>
      <c r="Z784" s="6"/>
      <c r="AA784" s="7"/>
      <c r="AN784" s="5"/>
    </row>
    <row r="785" ht="15.75" customHeight="1">
      <c r="A785" s="7"/>
      <c r="B785" s="7"/>
      <c r="C785" s="7"/>
      <c r="F785" s="7"/>
      <c r="G785" s="6"/>
      <c r="K785" s="5"/>
      <c r="N785" s="6"/>
      <c r="Y785" s="5"/>
      <c r="Z785" s="6"/>
      <c r="AA785" s="7"/>
      <c r="AN785" s="5"/>
    </row>
    <row r="786" ht="15.75" customHeight="1">
      <c r="A786" s="7"/>
      <c r="B786" s="7"/>
      <c r="C786" s="7"/>
      <c r="F786" s="7"/>
      <c r="G786" s="6"/>
      <c r="K786" s="5"/>
      <c r="N786" s="6"/>
      <c r="Y786" s="5"/>
      <c r="Z786" s="6"/>
      <c r="AA786" s="7"/>
      <c r="AN786" s="5"/>
    </row>
    <row r="787" ht="15.75" customHeight="1">
      <c r="A787" s="7"/>
      <c r="B787" s="7"/>
      <c r="C787" s="7"/>
      <c r="F787" s="7"/>
      <c r="G787" s="6"/>
      <c r="K787" s="5"/>
      <c r="N787" s="6"/>
      <c r="Y787" s="5"/>
      <c r="Z787" s="6"/>
      <c r="AA787" s="7"/>
      <c r="AN787" s="5"/>
    </row>
    <row r="788" ht="15.75" customHeight="1">
      <c r="A788" s="7"/>
      <c r="B788" s="7"/>
      <c r="C788" s="7"/>
      <c r="F788" s="7"/>
      <c r="G788" s="6"/>
      <c r="K788" s="5"/>
      <c r="N788" s="6"/>
      <c r="Y788" s="5"/>
      <c r="Z788" s="6"/>
      <c r="AA788" s="7"/>
      <c r="AN788" s="5"/>
    </row>
    <row r="789" ht="15.75" customHeight="1">
      <c r="A789" s="7"/>
      <c r="B789" s="7"/>
      <c r="C789" s="7"/>
      <c r="F789" s="7"/>
      <c r="G789" s="6"/>
      <c r="K789" s="5"/>
      <c r="N789" s="6"/>
      <c r="Y789" s="5"/>
      <c r="Z789" s="6"/>
      <c r="AA789" s="7"/>
      <c r="AN789" s="5"/>
    </row>
    <row r="790" ht="15.75" customHeight="1">
      <c r="A790" s="7"/>
      <c r="B790" s="7"/>
      <c r="C790" s="7"/>
      <c r="F790" s="7"/>
      <c r="G790" s="6"/>
      <c r="K790" s="5"/>
      <c r="N790" s="6"/>
      <c r="Y790" s="5"/>
      <c r="Z790" s="6"/>
      <c r="AA790" s="7"/>
      <c r="AN790" s="5"/>
    </row>
    <row r="791" ht="15.75" customHeight="1">
      <c r="A791" s="7"/>
      <c r="B791" s="7"/>
      <c r="C791" s="7"/>
      <c r="F791" s="7"/>
      <c r="G791" s="6"/>
      <c r="K791" s="5"/>
      <c r="N791" s="6"/>
      <c r="Y791" s="5"/>
      <c r="Z791" s="6"/>
      <c r="AA791" s="7"/>
      <c r="AN791" s="5"/>
    </row>
    <row r="792" ht="15.75" customHeight="1">
      <c r="A792" s="7"/>
      <c r="B792" s="7"/>
      <c r="C792" s="7"/>
      <c r="F792" s="7"/>
      <c r="G792" s="6"/>
      <c r="K792" s="5"/>
      <c r="N792" s="6"/>
      <c r="Y792" s="5"/>
      <c r="Z792" s="6"/>
      <c r="AA792" s="7"/>
      <c r="AN792" s="5"/>
    </row>
    <row r="793" ht="15.75" customHeight="1">
      <c r="A793" s="7"/>
      <c r="B793" s="7"/>
      <c r="C793" s="7"/>
      <c r="F793" s="7"/>
      <c r="G793" s="6"/>
      <c r="K793" s="5"/>
      <c r="N793" s="6"/>
      <c r="Y793" s="5"/>
      <c r="Z793" s="6"/>
      <c r="AA793" s="7"/>
      <c r="AN793" s="5"/>
    </row>
    <row r="794" ht="15.75" customHeight="1">
      <c r="A794" s="7"/>
      <c r="B794" s="7"/>
      <c r="C794" s="7"/>
      <c r="F794" s="7"/>
      <c r="G794" s="6"/>
      <c r="K794" s="5"/>
      <c r="N794" s="6"/>
      <c r="Y794" s="5"/>
      <c r="Z794" s="6"/>
      <c r="AA794" s="7"/>
      <c r="AN794" s="5"/>
    </row>
    <row r="795" ht="15.75" customHeight="1">
      <c r="A795" s="7"/>
      <c r="B795" s="7"/>
      <c r="C795" s="7"/>
      <c r="F795" s="7"/>
      <c r="G795" s="6"/>
      <c r="K795" s="5"/>
      <c r="N795" s="6"/>
      <c r="Y795" s="5"/>
      <c r="Z795" s="6"/>
      <c r="AA795" s="7"/>
      <c r="AN795" s="5"/>
    </row>
    <row r="796" ht="15.75" customHeight="1">
      <c r="A796" s="7"/>
      <c r="B796" s="7"/>
      <c r="C796" s="7"/>
      <c r="F796" s="7"/>
      <c r="G796" s="6"/>
      <c r="K796" s="5"/>
      <c r="N796" s="6"/>
      <c r="Y796" s="5"/>
      <c r="Z796" s="6"/>
      <c r="AA796" s="7"/>
      <c r="AN796" s="5"/>
    </row>
    <row r="797" ht="15.75" customHeight="1">
      <c r="A797" s="7"/>
      <c r="B797" s="7"/>
      <c r="C797" s="7"/>
      <c r="F797" s="7"/>
      <c r="G797" s="6"/>
      <c r="K797" s="5"/>
      <c r="N797" s="6"/>
      <c r="Y797" s="5"/>
      <c r="Z797" s="6"/>
      <c r="AA797" s="7"/>
      <c r="AN797" s="5"/>
    </row>
    <row r="798" ht="15.75" customHeight="1">
      <c r="A798" s="7"/>
      <c r="B798" s="7"/>
      <c r="C798" s="7"/>
      <c r="F798" s="7"/>
      <c r="G798" s="6"/>
      <c r="K798" s="5"/>
      <c r="N798" s="6"/>
      <c r="Y798" s="5"/>
      <c r="Z798" s="6"/>
      <c r="AA798" s="7"/>
      <c r="AN798" s="5"/>
    </row>
    <row r="799" ht="15.75" customHeight="1">
      <c r="A799" s="7"/>
      <c r="B799" s="7"/>
      <c r="C799" s="7"/>
      <c r="F799" s="7"/>
      <c r="G799" s="6"/>
      <c r="K799" s="5"/>
      <c r="N799" s="6"/>
      <c r="Y799" s="5"/>
      <c r="Z799" s="6"/>
      <c r="AA799" s="7"/>
      <c r="AN799" s="5"/>
    </row>
    <row r="800" ht="15.75" customHeight="1">
      <c r="A800" s="7"/>
      <c r="B800" s="7"/>
      <c r="C800" s="7"/>
      <c r="F800" s="7"/>
      <c r="G800" s="6"/>
      <c r="K800" s="5"/>
      <c r="N800" s="6"/>
      <c r="Y800" s="5"/>
      <c r="Z800" s="6"/>
      <c r="AA800" s="7"/>
      <c r="AN800" s="5"/>
    </row>
    <row r="801" ht="15.75" customHeight="1">
      <c r="A801" s="7"/>
      <c r="B801" s="7"/>
      <c r="C801" s="7"/>
      <c r="F801" s="7"/>
      <c r="G801" s="6"/>
      <c r="K801" s="5"/>
      <c r="N801" s="6"/>
      <c r="Y801" s="5"/>
      <c r="Z801" s="6"/>
      <c r="AA801" s="7"/>
      <c r="AN801" s="5"/>
    </row>
    <row r="802" ht="15.75" customHeight="1">
      <c r="A802" s="7"/>
      <c r="B802" s="7"/>
      <c r="C802" s="7"/>
      <c r="F802" s="7"/>
      <c r="G802" s="6"/>
      <c r="K802" s="5"/>
      <c r="N802" s="6"/>
      <c r="Y802" s="5"/>
      <c r="Z802" s="6"/>
      <c r="AA802" s="7"/>
      <c r="AN802" s="5"/>
    </row>
    <row r="803" ht="15.75" customHeight="1">
      <c r="A803" s="7"/>
      <c r="B803" s="7"/>
      <c r="C803" s="7"/>
      <c r="F803" s="7"/>
      <c r="G803" s="6"/>
      <c r="K803" s="5"/>
      <c r="N803" s="6"/>
      <c r="Y803" s="5"/>
      <c r="Z803" s="6"/>
      <c r="AA803" s="7"/>
      <c r="AN803" s="5"/>
    </row>
    <row r="804" ht="15.75" customHeight="1">
      <c r="A804" s="7"/>
      <c r="B804" s="7"/>
      <c r="C804" s="7"/>
      <c r="F804" s="7"/>
      <c r="G804" s="6"/>
      <c r="K804" s="5"/>
      <c r="N804" s="6"/>
      <c r="Y804" s="5"/>
      <c r="Z804" s="6"/>
      <c r="AA804" s="7"/>
      <c r="AN804" s="5"/>
    </row>
    <row r="805" ht="15.75" customHeight="1">
      <c r="A805" s="7"/>
      <c r="B805" s="7"/>
      <c r="C805" s="7"/>
      <c r="F805" s="7"/>
      <c r="G805" s="6"/>
      <c r="K805" s="5"/>
      <c r="N805" s="6"/>
      <c r="Y805" s="5"/>
      <c r="Z805" s="6"/>
      <c r="AA805" s="7"/>
      <c r="AN805" s="5"/>
    </row>
    <row r="806" ht="15.75" customHeight="1">
      <c r="A806" s="7"/>
      <c r="B806" s="7"/>
      <c r="C806" s="7"/>
      <c r="F806" s="7"/>
      <c r="G806" s="6"/>
      <c r="K806" s="5"/>
      <c r="N806" s="6"/>
      <c r="Y806" s="5"/>
      <c r="Z806" s="6"/>
      <c r="AA806" s="7"/>
      <c r="AN806" s="5"/>
    </row>
    <row r="807" ht="15.75" customHeight="1">
      <c r="A807" s="7"/>
      <c r="B807" s="7"/>
      <c r="C807" s="7"/>
      <c r="F807" s="7"/>
      <c r="G807" s="6"/>
      <c r="K807" s="5"/>
      <c r="N807" s="6"/>
      <c r="Y807" s="5"/>
      <c r="Z807" s="6"/>
      <c r="AA807" s="7"/>
      <c r="AN807" s="5"/>
    </row>
    <row r="808" ht="15.75" customHeight="1">
      <c r="A808" s="7"/>
      <c r="B808" s="7"/>
      <c r="C808" s="7"/>
      <c r="F808" s="7"/>
      <c r="G808" s="6"/>
      <c r="K808" s="5"/>
      <c r="N808" s="6"/>
      <c r="Y808" s="5"/>
      <c r="Z808" s="6"/>
      <c r="AA808" s="7"/>
      <c r="AN808" s="5"/>
    </row>
    <row r="809" ht="15.75" customHeight="1">
      <c r="A809" s="7"/>
      <c r="B809" s="7"/>
      <c r="C809" s="7"/>
      <c r="F809" s="7"/>
      <c r="G809" s="6"/>
      <c r="K809" s="5"/>
      <c r="N809" s="6"/>
      <c r="Y809" s="5"/>
      <c r="Z809" s="6"/>
      <c r="AA809" s="7"/>
      <c r="AN809" s="5"/>
    </row>
    <row r="810" ht="15.75" customHeight="1">
      <c r="A810" s="7"/>
      <c r="B810" s="7"/>
      <c r="C810" s="7"/>
      <c r="F810" s="7"/>
      <c r="G810" s="6"/>
      <c r="K810" s="5"/>
      <c r="N810" s="6"/>
      <c r="Y810" s="5"/>
      <c r="Z810" s="6"/>
      <c r="AA810" s="7"/>
      <c r="AN810" s="5"/>
    </row>
    <row r="811" ht="15.75" customHeight="1">
      <c r="A811" s="7"/>
      <c r="B811" s="7"/>
      <c r="C811" s="7"/>
      <c r="F811" s="7"/>
      <c r="G811" s="6"/>
      <c r="K811" s="5"/>
      <c r="N811" s="6"/>
      <c r="Y811" s="5"/>
      <c r="Z811" s="6"/>
      <c r="AA811" s="7"/>
      <c r="AN811" s="5"/>
    </row>
    <row r="812" ht="15.75" customHeight="1">
      <c r="A812" s="7"/>
      <c r="B812" s="7"/>
      <c r="C812" s="7"/>
      <c r="F812" s="7"/>
      <c r="G812" s="6"/>
      <c r="K812" s="5"/>
      <c r="N812" s="6"/>
      <c r="Y812" s="5"/>
      <c r="Z812" s="6"/>
      <c r="AA812" s="7"/>
      <c r="AN812" s="5"/>
    </row>
    <row r="813" ht="15.75" customHeight="1">
      <c r="A813" s="7"/>
      <c r="B813" s="7"/>
      <c r="C813" s="7"/>
      <c r="F813" s="7"/>
      <c r="G813" s="6"/>
      <c r="K813" s="5"/>
      <c r="N813" s="6"/>
      <c r="Y813" s="5"/>
      <c r="Z813" s="6"/>
      <c r="AA813" s="7"/>
      <c r="AN813" s="5"/>
    </row>
    <row r="814" ht="15.75" customHeight="1">
      <c r="A814" s="7"/>
      <c r="B814" s="7"/>
      <c r="C814" s="7"/>
      <c r="F814" s="7"/>
      <c r="G814" s="6"/>
      <c r="K814" s="5"/>
      <c r="N814" s="6"/>
      <c r="Y814" s="5"/>
      <c r="Z814" s="6"/>
      <c r="AA814" s="7"/>
      <c r="AN814" s="5"/>
    </row>
    <row r="815" ht="15.75" customHeight="1">
      <c r="A815" s="7"/>
      <c r="B815" s="7"/>
      <c r="C815" s="7"/>
      <c r="F815" s="7"/>
      <c r="G815" s="6"/>
      <c r="K815" s="5"/>
      <c r="N815" s="6"/>
      <c r="Y815" s="5"/>
      <c r="Z815" s="6"/>
      <c r="AA815" s="7"/>
      <c r="AN815" s="5"/>
    </row>
    <row r="816" ht="15.75" customHeight="1">
      <c r="A816" s="7"/>
      <c r="B816" s="7"/>
      <c r="C816" s="7"/>
      <c r="F816" s="7"/>
      <c r="G816" s="6"/>
      <c r="K816" s="5"/>
      <c r="N816" s="6"/>
      <c r="Y816" s="5"/>
      <c r="Z816" s="6"/>
      <c r="AA816" s="7"/>
      <c r="AN816" s="5"/>
    </row>
    <row r="817" ht="15.75" customHeight="1">
      <c r="A817" s="7"/>
      <c r="B817" s="7"/>
      <c r="C817" s="7"/>
      <c r="F817" s="7"/>
      <c r="G817" s="6"/>
      <c r="K817" s="5"/>
      <c r="N817" s="6"/>
      <c r="Y817" s="5"/>
      <c r="Z817" s="6"/>
      <c r="AA817" s="7"/>
      <c r="AN817" s="5"/>
    </row>
    <row r="818" ht="15.75" customHeight="1">
      <c r="A818" s="7"/>
      <c r="B818" s="7"/>
      <c r="C818" s="7"/>
      <c r="F818" s="7"/>
      <c r="G818" s="6"/>
      <c r="K818" s="5"/>
      <c r="N818" s="6"/>
      <c r="Y818" s="5"/>
      <c r="Z818" s="6"/>
      <c r="AA818" s="7"/>
      <c r="AN818" s="5"/>
    </row>
    <row r="819" ht="15.75" customHeight="1">
      <c r="A819" s="7"/>
      <c r="B819" s="7"/>
      <c r="C819" s="7"/>
      <c r="F819" s="7"/>
      <c r="G819" s="6"/>
      <c r="K819" s="5"/>
      <c r="N819" s="6"/>
      <c r="Y819" s="5"/>
      <c r="Z819" s="6"/>
      <c r="AA819" s="7"/>
      <c r="AN819" s="5"/>
    </row>
    <row r="820" ht="15.75" customHeight="1">
      <c r="A820" s="7"/>
      <c r="B820" s="7"/>
      <c r="C820" s="7"/>
      <c r="F820" s="7"/>
      <c r="G820" s="6"/>
      <c r="K820" s="5"/>
      <c r="N820" s="6"/>
      <c r="Y820" s="5"/>
      <c r="Z820" s="6"/>
      <c r="AA820" s="7"/>
      <c r="AN820" s="5"/>
    </row>
    <row r="821" ht="15.75" customHeight="1">
      <c r="A821" s="7"/>
      <c r="B821" s="7"/>
      <c r="C821" s="7"/>
      <c r="F821" s="7"/>
      <c r="G821" s="6"/>
      <c r="K821" s="5"/>
      <c r="N821" s="6"/>
      <c r="Y821" s="5"/>
      <c r="Z821" s="6"/>
      <c r="AA821" s="7"/>
      <c r="AN821" s="5"/>
    </row>
    <row r="822" ht="15.75" customHeight="1">
      <c r="A822" s="7"/>
      <c r="B822" s="7"/>
      <c r="C822" s="7"/>
      <c r="F822" s="7"/>
      <c r="G822" s="6"/>
      <c r="K822" s="5"/>
      <c r="N822" s="6"/>
      <c r="Y822" s="5"/>
      <c r="Z822" s="6"/>
      <c r="AA822" s="7"/>
      <c r="AN822" s="5"/>
    </row>
    <row r="823" ht="15.75" customHeight="1">
      <c r="A823" s="7"/>
      <c r="B823" s="7"/>
      <c r="C823" s="7"/>
      <c r="F823" s="7"/>
      <c r="G823" s="6"/>
      <c r="K823" s="5"/>
      <c r="N823" s="6"/>
      <c r="Y823" s="5"/>
      <c r="Z823" s="6"/>
      <c r="AA823" s="7"/>
      <c r="AN823" s="5"/>
    </row>
    <row r="824" ht="15.75" customHeight="1">
      <c r="A824" s="7"/>
      <c r="B824" s="7"/>
      <c r="C824" s="7"/>
      <c r="F824" s="7"/>
      <c r="G824" s="6"/>
      <c r="K824" s="5"/>
      <c r="N824" s="6"/>
      <c r="Y824" s="5"/>
      <c r="Z824" s="6"/>
      <c r="AA824" s="7"/>
      <c r="AN824" s="5"/>
    </row>
    <row r="825" ht="15.75" customHeight="1">
      <c r="A825" s="7"/>
      <c r="B825" s="7"/>
      <c r="C825" s="7"/>
      <c r="F825" s="7"/>
      <c r="G825" s="6"/>
      <c r="K825" s="5"/>
      <c r="N825" s="6"/>
      <c r="Y825" s="5"/>
      <c r="Z825" s="6"/>
      <c r="AA825" s="7"/>
      <c r="AN825" s="5"/>
    </row>
    <row r="826" ht="15.75" customHeight="1">
      <c r="A826" s="7"/>
      <c r="B826" s="7"/>
      <c r="C826" s="7"/>
      <c r="F826" s="7"/>
      <c r="G826" s="6"/>
      <c r="K826" s="5"/>
      <c r="N826" s="6"/>
      <c r="Y826" s="5"/>
      <c r="Z826" s="6"/>
      <c r="AA826" s="7"/>
      <c r="AN826" s="5"/>
    </row>
    <row r="827" ht="15.75" customHeight="1">
      <c r="A827" s="7"/>
      <c r="B827" s="7"/>
      <c r="C827" s="7"/>
      <c r="F827" s="7"/>
      <c r="G827" s="6"/>
      <c r="K827" s="5"/>
      <c r="N827" s="6"/>
      <c r="Y827" s="5"/>
      <c r="Z827" s="6"/>
      <c r="AA827" s="7"/>
      <c r="AN827" s="5"/>
    </row>
    <row r="828" ht="15.75" customHeight="1">
      <c r="A828" s="7"/>
      <c r="B828" s="7"/>
      <c r="C828" s="7"/>
      <c r="F828" s="7"/>
      <c r="G828" s="6"/>
      <c r="K828" s="5"/>
      <c r="N828" s="6"/>
      <c r="Y828" s="5"/>
      <c r="Z828" s="6"/>
      <c r="AA828" s="7"/>
      <c r="AN828" s="5"/>
    </row>
    <row r="829" ht="15.75" customHeight="1">
      <c r="A829" s="7"/>
      <c r="B829" s="7"/>
      <c r="C829" s="7"/>
      <c r="F829" s="7"/>
      <c r="G829" s="6"/>
      <c r="K829" s="5"/>
      <c r="N829" s="6"/>
      <c r="Y829" s="5"/>
      <c r="Z829" s="6"/>
      <c r="AA829" s="7"/>
      <c r="AN829" s="5"/>
    </row>
    <row r="830" ht="15.75" customHeight="1">
      <c r="A830" s="7"/>
      <c r="B830" s="7"/>
      <c r="C830" s="7"/>
      <c r="F830" s="7"/>
      <c r="G830" s="6"/>
      <c r="K830" s="5"/>
      <c r="N830" s="6"/>
      <c r="Y830" s="5"/>
      <c r="Z830" s="6"/>
      <c r="AA830" s="7"/>
      <c r="AN830" s="5"/>
    </row>
    <row r="831" ht="15.75" customHeight="1">
      <c r="A831" s="7"/>
      <c r="B831" s="7"/>
      <c r="C831" s="7"/>
      <c r="F831" s="7"/>
      <c r="G831" s="6"/>
      <c r="K831" s="5"/>
      <c r="N831" s="6"/>
      <c r="Y831" s="5"/>
      <c r="Z831" s="6"/>
      <c r="AA831" s="7"/>
      <c r="AN831" s="5"/>
    </row>
    <row r="832" ht="15.75" customHeight="1">
      <c r="A832" s="7"/>
      <c r="B832" s="7"/>
      <c r="C832" s="7"/>
      <c r="F832" s="7"/>
      <c r="G832" s="6"/>
      <c r="K832" s="5"/>
      <c r="N832" s="6"/>
      <c r="Y832" s="5"/>
      <c r="Z832" s="6"/>
      <c r="AA832" s="7"/>
      <c r="AN832" s="5"/>
    </row>
    <row r="833" ht="15.75" customHeight="1">
      <c r="A833" s="7"/>
      <c r="B833" s="7"/>
      <c r="C833" s="7"/>
      <c r="F833" s="7"/>
      <c r="G833" s="6"/>
      <c r="K833" s="5"/>
      <c r="N833" s="6"/>
      <c r="Y833" s="5"/>
      <c r="Z833" s="6"/>
      <c r="AA833" s="7"/>
      <c r="AN833" s="5"/>
    </row>
    <row r="834" ht="15.75" customHeight="1">
      <c r="A834" s="7"/>
      <c r="B834" s="7"/>
      <c r="C834" s="7"/>
      <c r="F834" s="7"/>
      <c r="G834" s="6"/>
      <c r="K834" s="5"/>
      <c r="N834" s="6"/>
      <c r="Y834" s="5"/>
      <c r="Z834" s="6"/>
      <c r="AA834" s="7"/>
      <c r="AN834" s="5"/>
    </row>
    <row r="835" ht="15.75" customHeight="1">
      <c r="A835" s="7"/>
      <c r="B835" s="7"/>
      <c r="C835" s="7"/>
      <c r="F835" s="7"/>
      <c r="G835" s="6"/>
      <c r="K835" s="5"/>
      <c r="N835" s="6"/>
      <c r="Y835" s="5"/>
      <c r="Z835" s="6"/>
      <c r="AA835" s="7"/>
      <c r="AN835" s="5"/>
    </row>
    <row r="836" ht="15.75" customHeight="1">
      <c r="A836" s="7"/>
      <c r="B836" s="7"/>
      <c r="C836" s="7"/>
      <c r="F836" s="7"/>
      <c r="G836" s="6"/>
      <c r="K836" s="5"/>
      <c r="N836" s="6"/>
      <c r="Y836" s="5"/>
      <c r="Z836" s="6"/>
      <c r="AA836" s="7"/>
      <c r="AN836" s="5"/>
    </row>
    <row r="837" ht="15.75" customHeight="1">
      <c r="A837" s="7"/>
      <c r="B837" s="7"/>
      <c r="C837" s="7"/>
      <c r="F837" s="7"/>
      <c r="G837" s="6"/>
      <c r="K837" s="5"/>
      <c r="N837" s="6"/>
      <c r="Y837" s="5"/>
      <c r="Z837" s="6"/>
      <c r="AA837" s="7"/>
      <c r="AN837" s="5"/>
    </row>
    <row r="838" ht="15.75" customHeight="1">
      <c r="A838" s="7"/>
      <c r="B838" s="7"/>
      <c r="C838" s="7"/>
      <c r="F838" s="7"/>
      <c r="G838" s="6"/>
      <c r="K838" s="5"/>
      <c r="N838" s="6"/>
      <c r="Y838" s="5"/>
      <c r="Z838" s="6"/>
      <c r="AA838" s="7"/>
      <c r="AN838" s="5"/>
    </row>
    <row r="839" ht="15.75" customHeight="1">
      <c r="A839" s="7"/>
      <c r="B839" s="7"/>
      <c r="C839" s="7"/>
      <c r="F839" s="7"/>
      <c r="G839" s="6"/>
      <c r="K839" s="5"/>
      <c r="N839" s="6"/>
      <c r="Y839" s="5"/>
      <c r="Z839" s="6"/>
      <c r="AA839" s="7"/>
      <c r="AN839" s="5"/>
    </row>
    <row r="840" ht="15.75" customHeight="1">
      <c r="A840" s="7"/>
      <c r="B840" s="7"/>
      <c r="C840" s="7"/>
      <c r="F840" s="7"/>
      <c r="G840" s="6"/>
      <c r="K840" s="5"/>
      <c r="N840" s="6"/>
      <c r="Y840" s="5"/>
      <c r="Z840" s="6"/>
      <c r="AA840" s="7"/>
      <c r="AN840" s="5"/>
    </row>
    <row r="841" ht="15.75" customHeight="1">
      <c r="A841" s="7"/>
      <c r="B841" s="7"/>
      <c r="C841" s="7"/>
      <c r="F841" s="7"/>
      <c r="G841" s="6"/>
      <c r="K841" s="5"/>
      <c r="N841" s="6"/>
      <c r="Y841" s="5"/>
      <c r="Z841" s="6"/>
      <c r="AA841" s="7"/>
      <c r="AN841" s="5"/>
    </row>
    <row r="842" ht="15.75" customHeight="1">
      <c r="A842" s="7"/>
      <c r="B842" s="7"/>
      <c r="C842" s="7"/>
      <c r="F842" s="7"/>
      <c r="G842" s="6"/>
      <c r="K842" s="5"/>
      <c r="N842" s="6"/>
      <c r="Y842" s="5"/>
      <c r="Z842" s="6"/>
      <c r="AA842" s="7"/>
      <c r="AN842" s="5"/>
    </row>
    <row r="843" ht="15.75" customHeight="1">
      <c r="A843" s="7"/>
      <c r="B843" s="7"/>
      <c r="C843" s="7"/>
      <c r="F843" s="7"/>
      <c r="G843" s="6"/>
      <c r="K843" s="5"/>
      <c r="N843" s="6"/>
      <c r="Y843" s="5"/>
      <c r="Z843" s="6"/>
      <c r="AA843" s="7"/>
      <c r="AN843" s="5"/>
    </row>
    <row r="844" ht="15.75" customHeight="1">
      <c r="A844" s="7"/>
      <c r="B844" s="7"/>
      <c r="C844" s="7"/>
      <c r="F844" s="7"/>
      <c r="G844" s="6"/>
      <c r="K844" s="5"/>
      <c r="N844" s="6"/>
      <c r="Y844" s="5"/>
      <c r="Z844" s="6"/>
      <c r="AA844" s="7"/>
      <c r="AN844" s="5"/>
    </row>
    <row r="845" ht="15.75" customHeight="1">
      <c r="A845" s="7"/>
      <c r="B845" s="7"/>
      <c r="C845" s="7"/>
      <c r="F845" s="7"/>
      <c r="G845" s="6"/>
      <c r="K845" s="5"/>
      <c r="N845" s="6"/>
      <c r="Y845" s="5"/>
      <c r="Z845" s="6"/>
      <c r="AA845" s="7"/>
      <c r="AN845" s="5"/>
    </row>
    <row r="846" ht="15.75" customHeight="1">
      <c r="A846" s="7"/>
      <c r="B846" s="7"/>
      <c r="C846" s="7"/>
      <c r="F846" s="7"/>
      <c r="G846" s="6"/>
      <c r="K846" s="5"/>
      <c r="N846" s="6"/>
      <c r="Y846" s="5"/>
      <c r="Z846" s="6"/>
      <c r="AA846" s="7"/>
      <c r="AN846" s="5"/>
    </row>
    <row r="847" ht="15.75" customHeight="1">
      <c r="A847" s="7"/>
      <c r="B847" s="7"/>
      <c r="C847" s="7"/>
      <c r="F847" s="7"/>
      <c r="G847" s="6"/>
      <c r="K847" s="5"/>
      <c r="N847" s="6"/>
      <c r="Y847" s="5"/>
      <c r="Z847" s="6"/>
      <c r="AA847" s="7"/>
      <c r="AN847" s="5"/>
    </row>
    <row r="848" ht="15.75" customHeight="1">
      <c r="A848" s="7"/>
      <c r="B848" s="7"/>
      <c r="C848" s="7"/>
      <c r="F848" s="7"/>
      <c r="G848" s="6"/>
      <c r="K848" s="5"/>
      <c r="N848" s="6"/>
      <c r="Y848" s="5"/>
      <c r="Z848" s="6"/>
      <c r="AA848" s="7"/>
      <c r="AN848" s="5"/>
    </row>
    <row r="849" ht="15.75" customHeight="1">
      <c r="A849" s="7"/>
      <c r="B849" s="7"/>
      <c r="C849" s="7"/>
      <c r="F849" s="7"/>
      <c r="G849" s="6"/>
      <c r="K849" s="5"/>
      <c r="N849" s="6"/>
      <c r="Y849" s="5"/>
      <c r="Z849" s="6"/>
      <c r="AA849" s="7"/>
      <c r="AN849" s="5"/>
    </row>
    <row r="850" ht="15.75" customHeight="1">
      <c r="A850" s="7"/>
      <c r="B850" s="7"/>
      <c r="C850" s="7"/>
      <c r="F850" s="7"/>
      <c r="G850" s="6"/>
      <c r="K850" s="5"/>
      <c r="N850" s="6"/>
      <c r="Y850" s="5"/>
      <c r="Z850" s="6"/>
      <c r="AA850" s="7"/>
      <c r="AN850" s="5"/>
    </row>
    <row r="851" ht="15.75" customHeight="1">
      <c r="A851" s="7"/>
      <c r="B851" s="7"/>
      <c r="C851" s="7"/>
      <c r="F851" s="7"/>
      <c r="G851" s="6"/>
      <c r="K851" s="5"/>
      <c r="N851" s="6"/>
      <c r="Y851" s="5"/>
      <c r="Z851" s="6"/>
      <c r="AA851" s="7"/>
      <c r="AN851" s="5"/>
    </row>
    <row r="852" ht="15.75" customHeight="1">
      <c r="A852" s="7"/>
      <c r="B852" s="7"/>
      <c r="C852" s="7"/>
      <c r="F852" s="7"/>
      <c r="G852" s="6"/>
      <c r="K852" s="5"/>
      <c r="N852" s="6"/>
      <c r="Y852" s="5"/>
      <c r="Z852" s="6"/>
      <c r="AA852" s="7"/>
      <c r="AN852" s="5"/>
    </row>
    <row r="853" ht="15.75" customHeight="1">
      <c r="A853" s="7"/>
      <c r="B853" s="7"/>
      <c r="C853" s="7"/>
      <c r="F853" s="7"/>
      <c r="G853" s="6"/>
      <c r="K853" s="5"/>
      <c r="N853" s="6"/>
      <c r="Y853" s="5"/>
      <c r="Z853" s="6"/>
      <c r="AA853" s="7"/>
      <c r="AN853" s="5"/>
    </row>
    <row r="854" ht="15.75" customHeight="1">
      <c r="A854" s="7"/>
      <c r="B854" s="7"/>
      <c r="C854" s="7"/>
      <c r="F854" s="7"/>
      <c r="G854" s="6"/>
      <c r="K854" s="5"/>
      <c r="N854" s="6"/>
      <c r="Y854" s="5"/>
      <c r="Z854" s="6"/>
      <c r="AA854" s="7"/>
      <c r="AN854" s="5"/>
    </row>
    <row r="855" ht="15.75" customHeight="1">
      <c r="A855" s="7"/>
      <c r="B855" s="7"/>
      <c r="C855" s="7"/>
      <c r="F855" s="7"/>
      <c r="G855" s="6"/>
      <c r="K855" s="5"/>
      <c r="N855" s="6"/>
      <c r="Y855" s="5"/>
      <c r="Z855" s="6"/>
      <c r="AA855" s="7"/>
      <c r="AN855" s="5"/>
    </row>
    <row r="856" ht="15.75" customHeight="1">
      <c r="A856" s="7"/>
      <c r="B856" s="7"/>
      <c r="C856" s="7"/>
      <c r="F856" s="7"/>
      <c r="G856" s="6"/>
      <c r="K856" s="5"/>
      <c r="N856" s="6"/>
      <c r="Y856" s="5"/>
      <c r="Z856" s="6"/>
      <c r="AA856" s="7"/>
      <c r="AN856" s="5"/>
    </row>
    <row r="857" ht="15.75" customHeight="1">
      <c r="A857" s="7"/>
      <c r="B857" s="7"/>
      <c r="C857" s="7"/>
      <c r="F857" s="7"/>
      <c r="G857" s="6"/>
      <c r="K857" s="5"/>
      <c r="N857" s="6"/>
      <c r="Y857" s="5"/>
      <c r="Z857" s="6"/>
      <c r="AA857" s="7"/>
      <c r="AN857" s="5"/>
    </row>
    <row r="858" ht="15.75" customHeight="1">
      <c r="A858" s="7"/>
      <c r="B858" s="7"/>
      <c r="C858" s="7"/>
      <c r="F858" s="7"/>
      <c r="G858" s="6"/>
      <c r="K858" s="5"/>
      <c r="N858" s="6"/>
      <c r="Y858" s="5"/>
      <c r="Z858" s="6"/>
      <c r="AA858" s="7"/>
      <c r="AN858" s="5"/>
    </row>
    <row r="859" ht="15.75" customHeight="1">
      <c r="A859" s="7"/>
      <c r="B859" s="7"/>
      <c r="C859" s="7"/>
      <c r="F859" s="7"/>
      <c r="G859" s="6"/>
      <c r="K859" s="5"/>
      <c r="N859" s="6"/>
      <c r="Y859" s="5"/>
      <c r="Z859" s="6"/>
      <c r="AA859" s="7"/>
      <c r="AN859" s="5"/>
    </row>
    <row r="860" ht="15.75" customHeight="1">
      <c r="A860" s="7"/>
      <c r="B860" s="7"/>
      <c r="C860" s="7"/>
      <c r="F860" s="7"/>
      <c r="G860" s="6"/>
      <c r="K860" s="5"/>
      <c r="N860" s="6"/>
      <c r="Y860" s="5"/>
      <c r="Z860" s="6"/>
      <c r="AA860" s="7"/>
      <c r="AN860" s="5"/>
    </row>
    <row r="861" ht="15.75" customHeight="1">
      <c r="A861" s="7"/>
      <c r="B861" s="7"/>
      <c r="C861" s="7"/>
      <c r="F861" s="7"/>
      <c r="G861" s="6"/>
      <c r="K861" s="5"/>
      <c r="N861" s="6"/>
      <c r="Y861" s="5"/>
      <c r="Z861" s="6"/>
      <c r="AA861" s="7"/>
      <c r="AN861" s="5"/>
    </row>
    <row r="862" ht="15.75" customHeight="1">
      <c r="A862" s="7"/>
      <c r="B862" s="7"/>
      <c r="C862" s="7"/>
      <c r="F862" s="7"/>
      <c r="G862" s="6"/>
      <c r="K862" s="5"/>
      <c r="N862" s="6"/>
      <c r="Y862" s="5"/>
      <c r="Z862" s="6"/>
      <c r="AA862" s="7"/>
      <c r="AN862" s="5"/>
    </row>
    <row r="863" ht="15.75" customHeight="1">
      <c r="A863" s="7"/>
      <c r="B863" s="7"/>
      <c r="C863" s="7"/>
      <c r="F863" s="7"/>
      <c r="G863" s="6"/>
      <c r="K863" s="5"/>
      <c r="N863" s="6"/>
      <c r="Y863" s="5"/>
      <c r="Z863" s="6"/>
      <c r="AA863" s="7"/>
      <c r="AN863" s="5"/>
    </row>
    <row r="864" ht="15.75" customHeight="1">
      <c r="A864" s="7"/>
      <c r="B864" s="7"/>
      <c r="C864" s="7"/>
      <c r="F864" s="7"/>
      <c r="G864" s="6"/>
      <c r="K864" s="5"/>
      <c r="N864" s="6"/>
      <c r="Y864" s="5"/>
      <c r="Z864" s="6"/>
      <c r="AA864" s="7"/>
      <c r="AN864" s="5"/>
    </row>
    <row r="865" ht="15.75" customHeight="1">
      <c r="A865" s="7"/>
      <c r="B865" s="7"/>
      <c r="C865" s="7"/>
      <c r="F865" s="7"/>
      <c r="G865" s="6"/>
      <c r="K865" s="5"/>
      <c r="N865" s="6"/>
      <c r="Y865" s="5"/>
      <c r="Z865" s="6"/>
      <c r="AA865" s="7"/>
      <c r="AN865" s="5"/>
    </row>
    <row r="866" ht="15.75" customHeight="1">
      <c r="A866" s="7"/>
      <c r="B866" s="7"/>
      <c r="C866" s="7"/>
      <c r="F866" s="7"/>
      <c r="G866" s="6"/>
      <c r="K866" s="5"/>
      <c r="N866" s="6"/>
      <c r="Y866" s="5"/>
      <c r="Z866" s="6"/>
      <c r="AA866" s="7"/>
      <c r="AN866" s="5"/>
    </row>
    <row r="867" ht="15.75" customHeight="1">
      <c r="A867" s="7"/>
      <c r="B867" s="7"/>
      <c r="C867" s="7"/>
      <c r="F867" s="7"/>
      <c r="G867" s="6"/>
      <c r="K867" s="5"/>
      <c r="N867" s="6"/>
      <c r="Y867" s="5"/>
      <c r="Z867" s="6"/>
      <c r="AA867" s="7"/>
      <c r="AN867" s="5"/>
    </row>
    <row r="868" ht="15.75" customHeight="1">
      <c r="A868" s="7"/>
      <c r="B868" s="7"/>
      <c r="C868" s="7"/>
      <c r="F868" s="7"/>
      <c r="G868" s="6"/>
      <c r="K868" s="5"/>
      <c r="N868" s="6"/>
      <c r="Y868" s="5"/>
      <c r="Z868" s="6"/>
      <c r="AA868" s="7"/>
      <c r="AN868" s="5"/>
    </row>
    <row r="869" ht="15.75" customHeight="1">
      <c r="A869" s="7"/>
      <c r="B869" s="7"/>
      <c r="C869" s="7"/>
      <c r="F869" s="7"/>
      <c r="G869" s="6"/>
      <c r="K869" s="5"/>
      <c r="N869" s="6"/>
      <c r="Y869" s="5"/>
      <c r="Z869" s="6"/>
      <c r="AA869" s="7"/>
      <c r="AN869" s="5"/>
    </row>
    <row r="870" ht="15.75" customHeight="1">
      <c r="A870" s="7"/>
      <c r="B870" s="7"/>
      <c r="C870" s="7"/>
      <c r="F870" s="7"/>
      <c r="G870" s="6"/>
      <c r="K870" s="5"/>
      <c r="N870" s="6"/>
      <c r="Y870" s="5"/>
      <c r="Z870" s="6"/>
      <c r="AA870" s="7"/>
      <c r="AN870" s="5"/>
    </row>
    <row r="871" ht="15.75" customHeight="1">
      <c r="A871" s="7"/>
      <c r="B871" s="7"/>
      <c r="C871" s="7"/>
      <c r="F871" s="7"/>
      <c r="G871" s="6"/>
      <c r="K871" s="5"/>
      <c r="N871" s="6"/>
      <c r="Y871" s="5"/>
      <c r="Z871" s="6"/>
      <c r="AA871" s="7"/>
      <c r="AN871" s="5"/>
    </row>
    <row r="872" ht="15.75" customHeight="1">
      <c r="A872" s="7"/>
      <c r="B872" s="7"/>
      <c r="C872" s="7"/>
      <c r="F872" s="7"/>
      <c r="G872" s="6"/>
      <c r="K872" s="5"/>
      <c r="N872" s="6"/>
      <c r="Y872" s="5"/>
      <c r="Z872" s="6"/>
      <c r="AA872" s="7"/>
      <c r="AN872" s="5"/>
    </row>
    <row r="873" ht="15.75" customHeight="1">
      <c r="A873" s="7"/>
      <c r="B873" s="7"/>
      <c r="C873" s="7"/>
      <c r="F873" s="7"/>
      <c r="G873" s="6"/>
      <c r="K873" s="5"/>
      <c r="N873" s="6"/>
      <c r="Y873" s="5"/>
      <c r="Z873" s="6"/>
      <c r="AA873" s="7"/>
      <c r="AN873" s="5"/>
    </row>
    <row r="874" ht="15.75" customHeight="1">
      <c r="A874" s="7"/>
      <c r="B874" s="7"/>
      <c r="C874" s="7"/>
      <c r="F874" s="7"/>
      <c r="G874" s="6"/>
      <c r="K874" s="5"/>
      <c r="N874" s="6"/>
      <c r="Y874" s="5"/>
      <c r="Z874" s="6"/>
      <c r="AA874" s="7"/>
      <c r="AN874" s="5"/>
    </row>
    <row r="875" ht="15.75" customHeight="1">
      <c r="A875" s="7"/>
      <c r="B875" s="7"/>
      <c r="C875" s="7"/>
      <c r="F875" s="7"/>
      <c r="G875" s="6"/>
      <c r="K875" s="5"/>
      <c r="N875" s="6"/>
      <c r="Y875" s="5"/>
      <c r="Z875" s="6"/>
      <c r="AA875" s="7"/>
      <c r="AN875" s="5"/>
    </row>
    <row r="876" ht="15.75" customHeight="1">
      <c r="A876" s="7"/>
      <c r="B876" s="7"/>
      <c r="C876" s="7"/>
      <c r="F876" s="7"/>
      <c r="G876" s="6"/>
      <c r="K876" s="5"/>
      <c r="N876" s="6"/>
      <c r="Y876" s="5"/>
      <c r="Z876" s="6"/>
      <c r="AA876" s="7"/>
      <c r="AN876" s="5"/>
    </row>
    <row r="877" ht="15.75" customHeight="1">
      <c r="A877" s="7"/>
      <c r="B877" s="7"/>
      <c r="C877" s="7"/>
      <c r="F877" s="7"/>
      <c r="G877" s="6"/>
      <c r="K877" s="5"/>
      <c r="N877" s="6"/>
      <c r="Y877" s="5"/>
      <c r="Z877" s="6"/>
      <c r="AA877" s="7"/>
      <c r="AN877" s="5"/>
    </row>
    <row r="878" ht="15.75" customHeight="1">
      <c r="A878" s="7"/>
      <c r="B878" s="7"/>
      <c r="C878" s="7"/>
      <c r="F878" s="7"/>
      <c r="G878" s="6"/>
      <c r="K878" s="5"/>
      <c r="N878" s="6"/>
      <c r="Y878" s="5"/>
      <c r="Z878" s="6"/>
      <c r="AA878" s="7"/>
      <c r="AN878" s="5"/>
    </row>
    <row r="879" ht="15.75" customHeight="1">
      <c r="A879" s="7"/>
      <c r="B879" s="7"/>
      <c r="C879" s="7"/>
      <c r="F879" s="7"/>
      <c r="G879" s="6"/>
      <c r="K879" s="5"/>
      <c r="N879" s="6"/>
      <c r="Y879" s="5"/>
      <c r="Z879" s="6"/>
      <c r="AA879" s="7"/>
      <c r="AN879" s="5"/>
    </row>
    <row r="880" ht="15.75" customHeight="1">
      <c r="A880" s="7"/>
      <c r="B880" s="7"/>
      <c r="C880" s="7"/>
      <c r="F880" s="7"/>
      <c r="G880" s="6"/>
      <c r="K880" s="5"/>
      <c r="N880" s="6"/>
      <c r="Y880" s="5"/>
      <c r="Z880" s="6"/>
      <c r="AA880" s="7"/>
      <c r="AN880" s="5"/>
    </row>
    <row r="881" ht="15.75" customHeight="1">
      <c r="A881" s="7"/>
      <c r="B881" s="7"/>
      <c r="C881" s="7"/>
      <c r="F881" s="7"/>
      <c r="G881" s="6"/>
      <c r="K881" s="5"/>
      <c r="N881" s="6"/>
      <c r="Y881" s="5"/>
      <c r="Z881" s="6"/>
      <c r="AA881" s="7"/>
      <c r="AN881" s="5"/>
    </row>
    <row r="882" ht="15.75" customHeight="1">
      <c r="A882" s="7"/>
      <c r="B882" s="7"/>
      <c r="C882" s="7"/>
      <c r="F882" s="7"/>
      <c r="G882" s="6"/>
      <c r="K882" s="5"/>
      <c r="N882" s="6"/>
      <c r="Y882" s="5"/>
      <c r="Z882" s="6"/>
      <c r="AA882" s="7"/>
      <c r="AN882" s="5"/>
    </row>
    <row r="883" ht="15.75" customHeight="1">
      <c r="A883" s="7"/>
      <c r="B883" s="7"/>
      <c r="C883" s="7"/>
      <c r="F883" s="7"/>
      <c r="G883" s="6"/>
      <c r="K883" s="5"/>
      <c r="N883" s="6"/>
      <c r="Y883" s="5"/>
      <c r="Z883" s="6"/>
      <c r="AA883" s="7"/>
      <c r="AN883" s="5"/>
    </row>
    <row r="884" ht="15.75" customHeight="1">
      <c r="A884" s="7"/>
      <c r="B884" s="7"/>
      <c r="C884" s="7"/>
      <c r="F884" s="7"/>
      <c r="G884" s="6"/>
      <c r="K884" s="5"/>
      <c r="N884" s="6"/>
      <c r="Y884" s="5"/>
      <c r="Z884" s="6"/>
      <c r="AA884" s="7"/>
      <c r="AN884" s="5"/>
    </row>
    <row r="885" ht="15.75" customHeight="1">
      <c r="A885" s="7"/>
      <c r="B885" s="7"/>
      <c r="C885" s="7"/>
      <c r="F885" s="7"/>
      <c r="G885" s="6"/>
      <c r="K885" s="5"/>
      <c r="N885" s="6"/>
      <c r="Y885" s="5"/>
      <c r="Z885" s="6"/>
      <c r="AA885" s="7"/>
      <c r="AN885" s="5"/>
    </row>
    <row r="886" ht="15.75" customHeight="1">
      <c r="A886" s="7"/>
      <c r="B886" s="7"/>
      <c r="C886" s="7"/>
      <c r="F886" s="7"/>
      <c r="G886" s="6"/>
      <c r="K886" s="5"/>
      <c r="N886" s="6"/>
      <c r="Y886" s="5"/>
      <c r="Z886" s="6"/>
      <c r="AA886" s="7"/>
      <c r="AN886" s="5"/>
    </row>
    <row r="887" ht="15.75" customHeight="1">
      <c r="A887" s="7"/>
      <c r="B887" s="7"/>
      <c r="C887" s="7"/>
      <c r="F887" s="7"/>
      <c r="G887" s="6"/>
      <c r="K887" s="5"/>
      <c r="N887" s="6"/>
      <c r="Y887" s="5"/>
      <c r="Z887" s="6"/>
      <c r="AA887" s="7"/>
      <c r="AN887" s="5"/>
    </row>
    <row r="888" ht="15.75" customHeight="1">
      <c r="A888" s="7"/>
      <c r="B888" s="7"/>
      <c r="C888" s="7"/>
      <c r="F888" s="7"/>
      <c r="G888" s="6"/>
      <c r="K888" s="5"/>
      <c r="N888" s="6"/>
      <c r="Y888" s="5"/>
      <c r="Z888" s="6"/>
      <c r="AA888" s="7"/>
      <c r="AN888" s="5"/>
    </row>
    <row r="889" ht="15.75" customHeight="1">
      <c r="A889" s="7"/>
      <c r="B889" s="7"/>
      <c r="C889" s="7"/>
      <c r="F889" s="7"/>
      <c r="G889" s="6"/>
      <c r="K889" s="5"/>
      <c r="N889" s="6"/>
      <c r="Y889" s="5"/>
      <c r="Z889" s="6"/>
      <c r="AA889" s="7"/>
      <c r="AN889" s="5"/>
    </row>
    <row r="890" ht="15.75" customHeight="1">
      <c r="A890" s="7"/>
      <c r="B890" s="7"/>
      <c r="C890" s="7"/>
      <c r="F890" s="7"/>
      <c r="G890" s="6"/>
      <c r="K890" s="5"/>
      <c r="N890" s="6"/>
      <c r="Y890" s="5"/>
      <c r="Z890" s="6"/>
      <c r="AA890" s="7"/>
      <c r="AN890" s="5"/>
    </row>
    <row r="891" ht="15.75" customHeight="1">
      <c r="A891" s="7"/>
      <c r="B891" s="7"/>
      <c r="C891" s="7"/>
      <c r="F891" s="7"/>
      <c r="G891" s="6"/>
      <c r="K891" s="5"/>
      <c r="N891" s="6"/>
      <c r="Y891" s="5"/>
      <c r="Z891" s="6"/>
      <c r="AA891" s="7"/>
      <c r="AN891" s="5"/>
    </row>
    <row r="892" ht="15.75" customHeight="1">
      <c r="A892" s="7"/>
      <c r="B892" s="7"/>
      <c r="C892" s="7"/>
      <c r="F892" s="7"/>
      <c r="G892" s="6"/>
      <c r="K892" s="5"/>
      <c r="N892" s="6"/>
      <c r="Y892" s="5"/>
      <c r="Z892" s="6"/>
      <c r="AA892" s="7"/>
      <c r="AN892" s="5"/>
    </row>
    <row r="893" ht="15.75" customHeight="1">
      <c r="A893" s="7"/>
      <c r="B893" s="7"/>
      <c r="C893" s="7"/>
      <c r="F893" s="7"/>
      <c r="G893" s="6"/>
      <c r="K893" s="5"/>
      <c r="N893" s="6"/>
      <c r="Y893" s="5"/>
      <c r="Z893" s="6"/>
      <c r="AA893" s="7"/>
      <c r="AN893" s="5"/>
    </row>
    <row r="894" ht="15.75" customHeight="1">
      <c r="A894" s="7"/>
      <c r="B894" s="7"/>
      <c r="C894" s="7"/>
      <c r="F894" s="7"/>
      <c r="G894" s="6"/>
      <c r="K894" s="5"/>
      <c r="N894" s="6"/>
      <c r="Y894" s="5"/>
      <c r="Z894" s="6"/>
      <c r="AA894" s="7"/>
      <c r="AN894" s="5"/>
    </row>
    <row r="895" ht="15.75" customHeight="1">
      <c r="A895" s="7"/>
      <c r="B895" s="7"/>
      <c r="C895" s="7"/>
      <c r="F895" s="7"/>
      <c r="G895" s="6"/>
      <c r="K895" s="5"/>
      <c r="N895" s="6"/>
      <c r="Y895" s="5"/>
      <c r="Z895" s="6"/>
      <c r="AA895" s="7"/>
      <c r="AN895" s="5"/>
    </row>
    <row r="896" ht="15.75" customHeight="1">
      <c r="A896" s="7"/>
      <c r="B896" s="7"/>
      <c r="C896" s="7"/>
      <c r="F896" s="7"/>
      <c r="G896" s="6"/>
      <c r="K896" s="5"/>
      <c r="N896" s="6"/>
      <c r="Y896" s="5"/>
      <c r="Z896" s="6"/>
      <c r="AA896" s="7"/>
      <c r="AN896" s="5"/>
    </row>
    <row r="897" ht="15.75" customHeight="1">
      <c r="A897" s="7"/>
      <c r="B897" s="7"/>
      <c r="C897" s="7"/>
      <c r="F897" s="7"/>
      <c r="G897" s="6"/>
      <c r="K897" s="5"/>
      <c r="N897" s="6"/>
      <c r="Y897" s="5"/>
      <c r="Z897" s="6"/>
      <c r="AA897" s="7"/>
      <c r="AN897" s="5"/>
    </row>
    <row r="898" ht="15.75" customHeight="1">
      <c r="A898" s="7"/>
      <c r="B898" s="7"/>
      <c r="C898" s="7"/>
      <c r="F898" s="7"/>
      <c r="G898" s="6"/>
      <c r="K898" s="5"/>
      <c r="N898" s="6"/>
      <c r="Y898" s="5"/>
      <c r="Z898" s="6"/>
      <c r="AA898" s="7"/>
      <c r="AN898" s="5"/>
    </row>
    <row r="899" ht="15.75" customHeight="1">
      <c r="A899" s="7"/>
      <c r="B899" s="7"/>
      <c r="C899" s="7"/>
      <c r="F899" s="7"/>
      <c r="G899" s="6"/>
      <c r="K899" s="5"/>
      <c r="N899" s="6"/>
      <c r="Y899" s="5"/>
      <c r="Z899" s="6"/>
      <c r="AA899" s="7"/>
      <c r="AN899" s="5"/>
    </row>
    <row r="900" ht="15.75" customHeight="1">
      <c r="A900" s="7"/>
      <c r="B900" s="7"/>
      <c r="C900" s="7"/>
      <c r="F900" s="7"/>
      <c r="G900" s="6"/>
      <c r="K900" s="5"/>
      <c r="N900" s="6"/>
      <c r="Y900" s="5"/>
      <c r="Z900" s="6"/>
      <c r="AA900" s="7"/>
      <c r="AN900" s="5"/>
    </row>
    <row r="901" ht="15.75" customHeight="1">
      <c r="A901" s="7"/>
      <c r="B901" s="7"/>
      <c r="C901" s="7"/>
      <c r="F901" s="7"/>
      <c r="G901" s="6"/>
      <c r="K901" s="5"/>
      <c r="N901" s="6"/>
      <c r="Y901" s="5"/>
      <c r="Z901" s="6"/>
      <c r="AA901" s="7"/>
      <c r="AN901" s="5"/>
    </row>
    <row r="902" ht="15.75" customHeight="1">
      <c r="A902" s="7"/>
      <c r="B902" s="7"/>
      <c r="C902" s="7"/>
      <c r="F902" s="7"/>
      <c r="G902" s="6"/>
      <c r="K902" s="5"/>
      <c r="N902" s="6"/>
      <c r="Y902" s="5"/>
      <c r="Z902" s="6"/>
      <c r="AA902" s="7"/>
      <c r="AN902" s="5"/>
    </row>
    <row r="903" ht="15.75" customHeight="1">
      <c r="A903" s="7"/>
      <c r="B903" s="7"/>
      <c r="C903" s="7"/>
      <c r="F903" s="7"/>
      <c r="G903" s="6"/>
      <c r="K903" s="5"/>
      <c r="N903" s="6"/>
      <c r="Y903" s="5"/>
      <c r="Z903" s="6"/>
      <c r="AA903" s="7"/>
      <c r="AN903" s="5"/>
    </row>
    <row r="904" ht="15.75" customHeight="1">
      <c r="A904" s="7"/>
      <c r="B904" s="7"/>
      <c r="C904" s="7"/>
      <c r="F904" s="7"/>
      <c r="G904" s="6"/>
      <c r="K904" s="5"/>
      <c r="N904" s="6"/>
      <c r="Y904" s="5"/>
      <c r="Z904" s="6"/>
      <c r="AA904" s="7"/>
      <c r="AN904" s="5"/>
    </row>
    <row r="905" ht="15.75" customHeight="1">
      <c r="A905" s="7"/>
      <c r="B905" s="7"/>
      <c r="C905" s="7"/>
      <c r="F905" s="7"/>
      <c r="G905" s="6"/>
      <c r="K905" s="5"/>
      <c r="N905" s="6"/>
      <c r="Y905" s="5"/>
      <c r="Z905" s="6"/>
      <c r="AA905" s="7"/>
      <c r="AN905" s="5"/>
    </row>
    <row r="906" ht="15.75" customHeight="1">
      <c r="A906" s="7"/>
      <c r="B906" s="7"/>
      <c r="C906" s="7"/>
      <c r="F906" s="7"/>
      <c r="G906" s="6"/>
      <c r="K906" s="5"/>
      <c r="N906" s="6"/>
      <c r="Y906" s="5"/>
      <c r="Z906" s="6"/>
      <c r="AA906" s="7"/>
      <c r="AN906" s="5"/>
    </row>
    <row r="907" ht="15.75" customHeight="1">
      <c r="A907" s="7"/>
      <c r="B907" s="7"/>
      <c r="C907" s="7"/>
      <c r="F907" s="7"/>
      <c r="G907" s="6"/>
      <c r="K907" s="5"/>
      <c r="N907" s="6"/>
      <c r="Y907" s="5"/>
      <c r="Z907" s="6"/>
      <c r="AA907" s="7"/>
      <c r="AN907" s="5"/>
    </row>
    <row r="908" ht="15.75" customHeight="1">
      <c r="A908" s="7"/>
      <c r="B908" s="7"/>
      <c r="C908" s="7"/>
      <c r="F908" s="7"/>
      <c r="G908" s="6"/>
      <c r="K908" s="5"/>
      <c r="N908" s="6"/>
      <c r="Y908" s="5"/>
      <c r="Z908" s="6"/>
      <c r="AA908" s="7"/>
      <c r="AN908" s="5"/>
    </row>
    <row r="909" ht="15.75" customHeight="1">
      <c r="A909" s="7"/>
      <c r="B909" s="7"/>
      <c r="C909" s="7"/>
      <c r="F909" s="7"/>
      <c r="G909" s="6"/>
      <c r="K909" s="5"/>
      <c r="N909" s="6"/>
      <c r="Y909" s="5"/>
      <c r="Z909" s="6"/>
      <c r="AA909" s="7"/>
      <c r="AN909" s="5"/>
    </row>
    <row r="910" ht="15.75" customHeight="1">
      <c r="A910" s="7"/>
      <c r="B910" s="7"/>
      <c r="C910" s="7"/>
      <c r="F910" s="7"/>
      <c r="G910" s="6"/>
      <c r="K910" s="5"/>
      <c r="N910" s="6"/>
      <c r="Y910" s="5"/>
      <c r="Z910" s="6"/>
      <c r="AA910" s="7"/>
      <c r="AN910" s="5"/>
    </row>
    <row r="911" ht="15.75" customHeight="1">
      <c r="A911" s="7"/>
      <c r="B911" s="7"/>
      <c r="C911" s="7"/>
      <c r="F911" s="7"/>
      <c r="G911" s="6"/>
      <c r="K911" s="5"/>
      <c r="N911" s="6"/>
      <c r="Y911" s="5"/>
      <c r="Z911" s="6"/>
      <c r="AA911" s="7"/>
      <c r="AN911" s="5"/>
    </row>
    <row r="912" ht="15.75" customHeight="1">
      <c r="A912" s="7"/>
      <c r="B912" s="7"/>
      <c r="C912" s="7"/>
      <c r="F912" s="7"/>
      <c r="G912" s="6"/>
      <c r="K912" s="5"/>
      <c r="N912" s="6"/>
      <c r="Y912" s="5"/>
      <c r="Z912" s="6"/>
      <c r="AA912" s="7"/>
      <c r="AN912" s="5"/>
    </row>
    <row r="913" ht="15.75" customHeight="1">
      <c r="A913" s="7"/>
      <c r="B913" s="7"/>
      <c r="C913" s="7"/>
      <c r="F913" s="7"/>
      <c r="G913" s="6"/>
      <c r="K913" s="5"/>
      <c r="N913" s="6"/>
      <c r="Y913" s="5"/>
      <c r="Z913" s="6"/>
      <c r="AA913" s="7"/>
      <c r="AN913" s="5"/>
    </row>
    <row r="914" ht="15.75" customHeight="1">
      <c r="A914" s="7"/>
      <c r="B914" s="7"/>
      <c r="C914" s="7"/>
      <c r="F914" s="7"/>
      <c r="G914" s="6"/>
      <c r="K914" s="5"/>
      <c r="N914" s="6"/>
      <c r="Y914" s="5"/>
      <c r="Z914" s="6"/>
      <c r="AA914" s="7"/>
      <c r="AN914" s="5"/>
    </row>
    <row r="915" ht="15.75" customHeight="1">
      <c r="A915" s="7"/>
      <c r="B915" s="7"/>
      <c r="C915" s="7"/>
      <c r="F915" s="7"/>
      <c r="G915" s="6"/>
      <c r="K915" s="5"/>
      <c r="N915" s="6"/>
      <c r="Y915" s="5"/>
      <c r="Z915" s="6"/>
      <c r="AA915" s="7"/>
      <c r="AN915" s="5"/>
    </row>
    <row r="916" ht="15.75" customHeight="1">
      <c r="A916" s="7"/>
      <c r="B916" s="7"/>
      <c r="C916" s="7"/>
      <c r="F916" s="7"/>
      <c r="G916" s="6"/>
      <c r="K916" s="5"/>
      <c r="N916" s="6"/>
      <c r="Y916" s="5"/>
      <c r="Z916" s="6"/>
      <c r="AA916" s="7"/>
      <c r="AN916" s="5"/>
    </row>
    <row r="917" ht="15.75" customHeight="1">
      <c r="A917" s="7"/>
      <c r="B917" s="7"/>
      <c r="C917" s="7"/>
      <c r="F917" s="7"/>
      <c r="G917" s="6"/>
      <c r="K917" s="5"/>
      <c r="N917" s="6"/>
      <c r="Y917" s="5"/>
      <c r="Z917" s="6"/>
      <c r="AA917" s="7"/>
      <c r="AN917" s="5"/>
    </row>
    <row r="918" ht="15.75" customHeight="1">
      <c r="A918" s="7"/>
      <c r="B918" s="7"/>
      <c r="C918" s="7"/>
      <c r="F918" s="7"/>
      <c r="G918" s="6"/>
      <c r="K918" s="5"/>
      <c r="N918" s="6"/>
      <c r="Y918" s="5"/>
      <c r="Z918" s="6"/>
      <c r="AA918" s="7"/>
      <c r="AN918" s="5"/>
    </row>
    <row r="919" ht="15.75" customHeight="1">
      <c r="A919" s="7"/>
      <c r="B919" s="7"/>
      <c r="C919" s="7"/>
      <c r="F919" s="7"/>
      <c r="G919" s="6"/>
      <c r="K919" s="5"/>
      <c r="N919" s="6"/>
      <c r="Y919" s="5"/>
      <c r="Z919" s="6"/>
      <c r="AA919" s="7"/>
      <c r="AN919" s="5"/>
    </row>
    <row r="920" ht="15.75" customHeight="1">
      <c r="A920" s="7"/>
      <c r="B920" s="7"/>
      <c r="C920" s="7"/>
      <c r="F920" s="7"/>
      <c r="G920" s="6"/>
      <c r="K920" s="5"/>
      <c r="N920" s="6"/>
      <c r="Y920" s="5"/>
      <c r="Z920" s="6"/>
      <c r="AA920" s="7"/>
      <c r="AN920" s="5"/>
    </row>
    <row r="921" ht="15.75" customHeight="1">
      <c r="A921" s="7"/>
      <c r="B921" s="7"/>
      <c r="C921" s="7"/>
      <c r="F921" s="7"/>
      <c r="G921" s="6"/>
      <c r="K921" s="5"/>
      <c r="N921" s="6"/>
      <c r="Y921" s="5"/>
      <c r="Z921" s="6"/>
      <c r="AA921" s="7"/>
      <c r="AN921" s="5"/>
    </row>
    <row r="922" ht="15.75" customHeight="1">
      <c r="A922" s="7"/>
      <c r="B922" s="7"/>
      <c r="C922" s="7"/>
      <c r="F922" s="7"/>
      <c r="G922" s="6"/>
      <c r="K922" s="5"/>
      <c r="N922" s="6"/>
      <c r="Y922" s="5"/>
      <c r="Z922" s="6"/>
      <c r="AA922" s="7"/>
      <c r="AN922" s="5"/>
    </row>
    <row r="923" ht="15.75" customHeight="1">
      <c r="A923" s="7"/>
      <c r="B923" s="7"/>
      <c r="C923" s="7"/>
      <c r="F923" s="7"/>
      <c r="G923" s="6"/>
      <c r="K923" s="5"/>
      <c r="N923" s="6"/>
      <c r="Y923" s="5"/>
      <c r="Z923" s="6"/>
      <c r="AA923" s="7"/>
      <c r="AN923" s="5"/>
    </row>
    <row r="924" ht="15.75" customHeight="1">
      <c r="A924" s="7"/>
      <c r="B924" s="7"/>
      <c r="C924" s="7"/>
      <c r="F924" s="7"/>
      <c r="G924" s="6"/>
      <c r="K924" s="5"/>
      <c r="N924" s="6"/>
      <c r="Y924" s="5"/>
      <c r="Z924" s="6"/>
      <c r="AA924" s="7"/>
      <c r="AN924" s="5"/>
    </row>
    <row r="925" ht="15.75" customHeight="1">
      <c r="A925" s="7"/>
      <c r="B925" s="7"/>
      <c r="C925" s="7"/>
      <c r="F925" s="7"/>
      <c r="G925" s="6"/>
      <c r="K925" s="5"/>
      <c r="N925" s="6"/>
      <c r="Y925" s="5"/>
      <c r="Z925" s="6"/>
      <c r="AA925" s="7"/>
      <c r="AN925" s="5"/>
    </row>
    <row r="926" ht="15.75" customHeight="1">
      <c r="A926" s="7"/>
      <c r="B926" s="7"/>
      <c r="C926" s="7"/>
      <c r="F926" s="7"/>
      <c r="G926" s="6"/>
      <c r="K926" s="5"/>
      <c r="N926" s="6"/>
      <c r="Y926" s="5"/>
      <c r="Z926" s="6"/>
      <c r="AA926" s="7"/>
      <c r="AN926" s="5"/>
    </row>
    <row r="927" ht="15.75" customHeight="1">
      <c r="A927" s="7"/>
      <c r="B927" s="7"/>
      <c r="C927" s="7"/>
      <c r="F927" s="7"/>
      <c r="G927" s="6"/>
      <c r="K927" s="5"/>
      <c r="N927" s="6"/>
      <c r="Y927" s="5"/>
      <c r="Z927" s="6"/>
      <c r="AA927" s="7"/>
      <c r="AN927" s="5"/>
    </row>
    <row r="928" ht="15.75" customHeight="1">
      <c r="A928" s="7"/>
      <c r="B928" s="7"/>
      <c r="C928" s="7"/>
      <c r="F928" s="7"/>
      <c r="G928" s="6"/>
      <c r="K928" s="5"/>
      <c r="N928" s="6"/>
      <c r="Y928" s="5"/>
      <c r="Z928" s="6"/>
      <c r="AA928" s="7"/>
      <c r="AN928" s="5"/>
    </row>
    <row r="929" ht="15.75" customHeight="1">
      <c r="A929" s="7"/>
      <c r="B929" s="7"/>
      <c r="C929" s="7"/>
      <c r="F929" s="7"/>
      <c r="G929" s="6"/>
      <c r="K929" s="5"/>
      <c r="N929" s="6"/>
      <c r="Y929" s="5"/>
      <c r="Z929" s="6"/>
      <c r="AA929" s="7"/>
      <c r="AN929" s="5"/>
    </row>
    <row r="930" ht="15.75" customHeight="1">
      <c r="A930" s="7"/>
      <c r="B930" s="7"/>
      <c r="C930" s="7"/>
      <c r="F930" s="7"/>
      <c r="G930" s="6"/>
      <c r="K930" s="5"/>
      <c r="N930" s="6"/>
      <c r="Y930" s="5"/>
      <c r="Z930" s="6"/>
      <c r="AA930" s="7"/>
      <c r="AN930" s="5"/>
    </row>
    <row r="931" ht="15.75" customHeight="1">
      <c r="A931" s="7"/>
      <c r="B931" s="7"/>
      <c r="C931" s="7"/>
      <c r="F931" s="7"/>
      <c r="G931" s="6"/>
      <c r="K931" s="5"/>
      <c r="N931" s="6"/>
      <c r="Y931" s="5"/>
      <c r="Z931" s="6"/>
      <c r="AA931" s="7"/>
      <c r="AN931" s="5"/>
    </row>
    <row r="932" ht="15.75" customHeight="1">
      <c r="A932" s="7"/>
      <c r="B932" s="7"/>
      <c r="C932" s="7"/>
      <c r="F932" s="7"/>
      <c r="G932" s="6"/>
      <c r="K932" s="5"/>
      <c r="N932" s="6"/>
      <c r="Y932" s="5"/>
      <c r="Z932" s="6"/>
      <c r="AA932" s="7"/>
      <c r="AN932" s="5"/>
    </row>
    <row r="933" ht="15.75" customHeight="1">
      <c r="A933" s="7"/>
      <c r="B933" s="7"/>
      <c r="C933" s="7"/>
      <c r="F933" s="7"/>
      <c r="G933" s="6"/>
      <c r="K933" s="5"/>
      <c r="N933" s="6"/>
      <c r="Y933" s="5"/>
      <c r="Z933" s="6"/>
      <c r="AA933" s="7"/>
      <c r="AN933" s="5"/>
    </row>
    <row r="934" ht="15.75" customHeight="1">
      <c r="A934" s="7"/>
      <c r="B934" s="7"/>
      <c r="C934" s="7"/>
      <c r="F934" s="7"/>
      <c r="G934" s="6"/>
      <c r="K934" s="5"/>
      <c r="N934" s="6"/>
      <c r="Y934" s="5"/>
      <c r="Z934" s="6"/>
      <c r="AA934" s="7"/>
      <c r="AN934" s="5"/>
    </row>
    <row r="935" ht="15.75" customHeight="1">
      <c r="A935" s="7"/>
      <c r="B935" s="7"/>
      <c r="C935" s="7"/>
      <c r="F935" s="7"/>
      <c r="G935" s="6"/>
      <c r="K935" s="5"/>
      <c r="N935" s="6"/>
      <c r="Y935" s="5"/>
      <c r="Z935" s="6"/>
      <c r="AA935" s="7"/>
      <c r="AN935" s="5"/>
    </row>
    <row r="936" ht="15.75" customHeight="1">
      <c r="A936" s="7"/>
      <c r="B936" s="7"/>
      <c r="C936" s="7"/>
      <c r="F936" s="7"/>
      <c r="G936" s="6"/>
      <c r="K936" s="5"/>
      <c r="N936" s="6"/>
      <c r="Y936" s="5"/>
      <c r="Z936" s="6"/>
      <c r="AA936" s="7"/>
      <c r="AN936" s="5"/>
    </row>
    <row r="937" ht="15.75" customHeight="1">
      <c r="A937" s="7"/>
      <c r="B937" s="7"/>
      <c r="C937" s="7"/>
      <c r="F937" s="7"/>
      <c r="G937" s="6"/>
      <c r="K937" s="5"/>
      <c r="N937" s="6"/>
      <c r="Y937" s="5"/>
      <c r="Z937" s="6"/>
      <c r="AA937" s="7"/>
      <c r="AN937" s="5"/>
    </row>
    <row r="938" ht="15.75" customHeight="1">
      <c r="A938" s="7"/>
      <c r="B938" s="7"/>
      <c r="C938" s="7"/>
      <c r="F938" s="7"/>
      <c r="G938" s="6"/>
      <c r="K938" s="5"/>
      <c r="N938" s="6"/>
      <c r="Y938" s="5"/>
      <c r="Z938" s="6"/>
      <c r="AA938" s="7"/>
      <c r="AN938" s="5"/>
    </row>
    <row r="939" ht="15.75" customHeight="1">
      <c r="A939" s="7"/>
      <c r="B939" s="7"/>
      <c r="C939" s="7"/>
      <c r="F939" s="7"/>
      <c r="G939" s="6"/>
      <c r="K939" s="5"/>
      <c r="N939" s="6"/>
      <c r="Y939" s="5"/>
      <c r="Z939" s="6"/>
      <c r="AA939" s="7"/>
      <c r="AN939" s="5"/>
    </row>
    <row r="940" ht="15.75" customHeight="1">
      <c r="A940" s="7"/>
      <c r="B940" s="7"/>
      <c r="C940" s="7"/>
      <c r="F940" s="7"/>
      <c r="G940" s="6"/>
      <c r="K940" s="5"/>
      <c r="N940" s="6"/>
      <c r="Y940" s="5"/>
      <c r="Z940" s="6"/>
      <c r="AA940" s="7"/>
      <c r="AN940" s="5"/>
    </row>
    <row r="941" ht="15.75" customHeight="1">
      <c r="A941" s="7"/>
      <c r="B941" s="7"/>
      <c r="C941" s="7"/>
      <c r="F941" s="7"/>
      <c r="G941" s="6"/>
      <c r="K941" s="5"/>
      <c r="N941" s="6"/>
      <c r="Y941" s="5"/>
      <c r="Z941" s="6"/>
      <c r="AA941" s="7"/>
      <c r="AN941" s="5"/>
    </row>
    <row r="942" ht="15.75" customHeight="1">
      <c r="A942" s="7"/>
      <c r="B942" s="7"/>
      <c r="C942" s="7"/>
      <c r="F942" s="7"/>
      <c r="G942" s="6"/>
      <c r="K942" s="5"/>
      <c r="N942" s="6"/>
      <c r="Y942" s="5"/>
      <c r="Z942" s="6"/>
      <c r="AA942" s="7"/>
      <c r="AN942" s="5"/>
    </row>
    <row r="943" ht="15.75" customHeight="1">
      <c r="A943" s="7"/>
      <c r="B943" s="7"/>
      <c r="C943" s="7"/>
      <c r="F943" s="7"/>
      <c r="G943" s="6"/>
      <c r="K943" s="5"/>
      <c r="N943" s="6"/>
      <c r="Y943" s="5"/>
      <c r="Z943" s="6"/>
      <c r="AA943" s="7"/>
      <c r="AN943" s="5"/>
    </row>
    <row r="944" ht="15.75" customHeight="1">
      <c r="A944" s="7"/>
      <c r="B944" s="7"/>
      <c r="C944" s="7"/>
      <c r="F944" s="7"/>
      <c r="G944" s="6"/>
      <c r="K944" s="5"/>
      <c r="N944" s="6"/>
      <c r="Y944" s="5"/>
      <c r="Z944" s="6"/>
      <c r="AA944" s="7"/>
      <c r="AN944" s="5"/>
    </row>
    <row r="945" ht="15.75" customHeight="1">
      <c r="A945" s="7"/>
      <c r="B945" s="7"/>
      <c r="C945" s="7"/>
      <c r="F945" s="7"/>
      <c r="G945" s="6"/>
      <c r="K945" s="5"/>
      <c r="N945" s="6"/>
      <c r="Y945" s="5"/>
      <c r="Z945" s="6"/>
      <c r="AA945" s="7"/>
      <c r="AN945" s="5"/>
    </row>
    <row r="946" ht="15.75" customHeight="1">
      <c r="A946" s="7"/>
      <c r="B946" s="7"/>
      <c r="C946" s="7"/>
      <c r="F946" s="7"/>
      <c r="G946" s="6"/>
      <c r="K946" s="5"/>
      <c r="N946" s="6"/>
      <c r="Y946" s="5"/>
      <c r="Z946" s="6"/>
      <c r="AA946" s="7"/>
      <c r="AN946" s="5"/>
    </row>
    <row r="947" ht="15.75" customHeight="1">
      <c r="A947" s="7"/>
      <c r="B947" s="7"/>
      <c r="C947" s="7"/>
      <c r="F947" s="7"/>
      <c r="G947" s="6"/>
      <c r="K947" s="5"/>
      <c r="N947" s="6"/>
      <c r="Y947" s="5"/>
      <c r="Z947" s="6"/>
      <c r="AA947" s="7"/>
      <c r="AN947" s="5"/>
    </row>
    <row r="948" ht="15.75" customHeight="1">
      <c r="A948" s="7"/>
      <c r="B948" s="7"/>
      <c r="C948" s="7"/>
      <c r="F948" s="7"/>
      <c r="G948" s="6"/>
      <c r="K948" s="5"/>
      <c r="N948" s="6"/>
      <c r="Y948" s="5"/>
      <c r="Z948" s="6"/>
      <c r="AA948" s="7"/>
      <c r="AN948" s="5"/>
    </row>
    <row r="949" ht="15.75" customHeight="1">
      <c r="A949" s="7"/>
      <c r="B949" s="7"/>
      <c r="C949" s="7"/>
      <c r="F949" s="7"/>
      <c r="G949" s="6"/>
      <c r="K949" s="5"/>
      <c r="N949" s="6"/>
      <c r="Y949" s="5"/>
      <c r="Z949" s="6"/>
      <c r="AA949" s="7"/>
      <c r="AN949" s="5"/>
    </row>
    <row r="950" ht="15.75" customHeight="1">
      <c r="A950" s="7"/>
      <c r="B950" s="7"/>
      <c r="C950" s="7"/>
      <c r="F950" s="7"/>
      <c r="G950" s="6"/>
      <c r="K950" s="5"/>
      <c r="N950" s="6"/>
      <c r="Y950" s="5"/>
      <c r="Z950" s="6"/>
      <c r="AA950" s="7"/>
      <c r="AN950" s="5"/>
    </row>
    <row r="951" ht="15.75" customHeight="1">
      <c r="A951" s="7"/>
      <c r="B951" s="7"/>
      <c r="C951" s="7"/>
      <c r="F951" s="7"/>
      <c r="G951" s="6"/>
      <c r="K951" s="5"/>
      <c r="N951" s="6"/>
      <c r="Y951" s="5"/>
      <c r="Z951" s="6"/>
      <c r="AA951" s="7"/>
      <c r="AN951" s="5"/>
    </row>
    <row r="952" ht="15.75" customHeight="1">
      <c r="A952" s="7"/>
      <c r="B952" s="7"/>
      <c r="C952" s="7"/>
      <c r="F952" s="7"/>
      <c r="G952" s="6"/>
      <c r="K952" s="5"/>
      <c r="N952" s="6"/>
      <c r="Y952" s="5"/>
      <c r="Z952" s="6"/>
      <c r="AA952" s="7"/>
      <c r="AN952" s="5"/>
    </row>
    <row r="953" ht="15.75" customHeight="1">
      <c r="A953" s="7"/>
      <c r="B953" s="7"/>
      <c r="C953" s="7"/>
      <c r="F953" s="7"/>
      <c r="G953" s="6"/>
      <c r="K953" s="5"/>
      <c r="N953" s="6"/>
      <c r="Y953" s="5"/>
      <c r="Z953" s="6"/>
      <c r="AA953" s="7"/>
      <c r="AN953" s="5"/>
    </row>
    <row r="954" ht="15.75" customHeight="1">
      <c r="A954" s="7"/>
      <c r="B954" s="7"/>
      <c r="C954" s="7"/>
      <c r="F954" s="7"/>
      <c r="G954" s="6"/>
      <c r="K954" s="5"/>
      <c r="N954" s="6"/>
      <c r="Y954" s="5"/>
      <c r="Z954" s="6"/>
      <c r="AA954" s="7"/>
      <c r="AN954" s="5"/>
    </row>
    <row r="955" ht="15.75" customHeight="1">
      <c r="A955" s="7"/>
      <c r="B955" s="7"/>
      <c r="C955" s="7"/>
      <c r="F955" s="7"/>
      <c r="G955" s="6"/>
      <c r="K955" s="5"/>
      <c r="N955" s="6"/>
      <c r="Y955" s="5"/>
      <c r="Z955" s="6"/>
      <c r="AA955" s="7"/>
      <c r="AN955" s="5"/>
    </row>
    <row r="956" ht="15.75" customHeight="1">
      <c r="A956" s="7"/>
      <c r="B956" s="7"/>
      <c r="C956" s="7"/>
      <c r="F956" s="7"/>
      <c r="G956" s="6"/>
      <c r="K956" s="5"/>
      <c r="N956" s="6"/>
      <c r="Y956" s="5"/>
      <c r="Z956" s="6"/>
      <c r="AA956" s="7"/>
      <c r="AN956" s="5"/>
    </row>
    <row r="957" ht="15.75" customHeight="1">
      <c r="A957" s="7"/>
      <c r="B957" s="7"/>
      <c r="C957" s="7"/>
      <c r="F957" s="7"/>
      <c r="G957" s="6"/>
      <c r="K957" s="5"/>
      <c r="N957" s="6"/>
      <c r="Y957" s="5"/>
      <c r="Z957" s="6"/>
      <c r="AA957" s="7"/>
      <c r="AN957" s="5"/>
    </row>
    <row r="958" ht="15.75" customHeight="1">
      <c r="A958" s="7"/>
      <c r="B958" s="7"/>
      <c r="C958" s="7"/>
      <c r="F958" s="7"/>
      <c r="G958" s="6"/>
      <c r="K958" s="5"/>
      <c r="N958" s="6"/>
      <c r="Y958" s="5"/>
      <c r="Z958" s="6"/>
      <c r="AA958" s="7"/>
      <c r="AN958" s="5"/>
    </row>
    <row r="959" ht="15.75" customHeight="1">
      <c r="A959" s="7"/>
      <c r="B959" s="7"/>
      <c r="C959" s="7"/>
      <c r="F959" s="7"/>
      <c r="G959" s="6"/>
      <c r="K959" s="5"/>
      <c r="N959" s="6"/>
      <c r="Y959" s="5"/>
      <c r="Z959" s="6"/>
      <c r="AA959" s="7"/>
      <c r="AN959" s="5"/>
    </row>
    <row r="960" ht="15.75" customHeight="1">
      <c r="A960" s="7"/>
      <c r="B960" s="7"/>
      <c r="C960" s="7"/>
      <c r="F960" s="7"/>
      <c r="G960" s="6"/>
      <c r="K960" s="5"/>
      <c r="N960" s="6"/>
      <c r="Y960" s="5"/>
      <c r="Z960" s="6"/>
      <c r="AA960" s="7"/>
      <c r="AN960" s="5"/>
    </row>
    <row r="961" ht="15.75" customHeight="1">
      <c r="A961" s="7"/>
      <c r="B961" s="7"/>
      <c r="C961" s="7"/>
      <c r="F961" s="7"/>
      <c r="G961" s="6"/>
      <c r="K961" s="5"/>
      <c r="N961" s="6"/>
      <c r="Y961" s="5"/>
      <c r="Z961" s="6"/>
      <c r="AA961" s="7"/>
      <c r="AN961" s="5"/>
    </row>
    <row r="962" ht="15.75" customHeight="1">
      <c r="A962" s="7"/>
      <c r="B962" s="7"/>
      <c r="C962" s="7"/>
      <c r="F962" s="7"/>
      <c r="G962" s="6"/>
      <c r="K962" s="5"/>
      <c r="N962" s="6"/>
      <c r="Y962" s="5"/>
      <c r="Z962" s="6"/>
      <c r="AA962" s="7"/>
      <c r="AN962" s="5"/>
    </row>
    <row r="963" ht="15.75" customHeight="1">
      <c r="A963" s="7"/>
      <c r="B963" s="7"/>
      <c r="C963" s="7"/>
      <c r="F963" s="7"/>
      <c r="G963" s="6"/>
      <c r="K963" s="5"/>
      <c r="N963" s="6"/>
      <c r="Y963" s="5"/>
      <c r="Z963" s="6"/>
      <c r="AA963" s="7"/>
      <c r="AN963" s="5"/>
    </row>
    <row r="964" ht="15.75" customHeight="1">
      <c r="A964" s="7"/>
      <c r="B964" s="7"/>
      <c r="C964" s="7"/>
      <c r="F964" s="7"/>
      <c r="G964" s="6"/>
      <c r="K964" s="5"/>
      <c r="N964" s="6"/>
      <c r="Y964" s="5"/>
      <c r="Z964" s="6"/>
      <c r="AA964" s="7"/>
      <c r="AN964" s="5"/>
    </row>
    <row r="965" ht="15.75" customHeight="1">
      <c r="A965" s="7"/>
      <c r="B965" s="7"/>
      <c r="C965" s="7"/>
      <c r="F965" s="7"/>
      <c r="G965" s="6"/>
      <c r="K965" s="5"/>
      <c r="N965" s="6"/>
      <c r="Y965" s="5"/>
      <c r="Z965" s="6"/>
      <c r="AA965" s="7"/>
      <c r="AN965" s="5"/>
    </row>
    <row r="966" ht="15.75" customHeight="1">
      <c r="A966" s="7"/>
      <c r="B966" s="7"/>
      <c r="C966" s="7"/>
      <c r="F966" s="7"/>
      <c r="G966" s="6"/>
      <c r="K966" s="5"/>
      <c r="N966" s="6"/>
      <c r="Y966" s="5"/>
      <c r="Z966" s="6"/>
      <c r="AA966" s="7"/>
      <c r="AN966" s="5"/>
    </row>
    <row r="967" ht="15.75" customHeight="1">
      <c r="A967" s="7"/>
      <c r="B967" s="7"/>
      <c r="C967" s="7"/>
      <c r="F967" s="7"/>
      <c r="G967" s="6"/>
      <c r="K967" s="5"/>
      <c r="N967" s="6"/>
      <c r="Y967" s="5"/>
      <c r="Z967" s="6"/>
      <c r="AA967" s="7"/>
      <c r="AN967" s="5"/>
    </row>
    <row r="968" ht="15.75" customHeight="1">
      <c r="A968" s="7"/>
      <c r="B968" s="7"/>
      <c r="C968" s="7"/>
      <c r="F968" s="7"/>
      <c r="G968" s="6"/>
      <c r="K968" s="5"/>
      <c r="N968" s="6"/>
      <c r="Y968" s="5"/>
      <c r="Z968" s="6"/>
      <c r="AA968" s="7"/>
      <c r="AN968" s="5"/>
    </row>
    <row r="969" ht="15.75" customHeight="1">
      <c r="A969" s="7"/>
      <c r="B969" s="7"/>
      <c r="C969" s="7"/>
      <c r="F969" s="7"/>
      <c r="G969" s="6"/>
      <c r="K969" s="5"/>
      <c r="N969" s="6"/>
      <c r="Y969" s="5"/>
      <c r="Z969" s="6"/>
      <c r="AA969" s="7"/>
      <c r="AN969" s="5"/>
    </row>
    <row r="970" ht="15.75" customHeight="1">
      <c r="A970" s="7"/>
      <c r="B970" s="7"/>
      <c r="C970" s="7"/>
      <c r="F970" s="7"/>
      <c r="G970" s="6"/>
      <c r="K970" s="5"/>
      <c r="N970" s="6"/>
      <c r="Y970" s="5"/>
      <c r="Z970" s="6"/>
      <c r="AA970" s="7"/>
      <c r="AN970" s="5"/>
    </row>
    <row r="971" ht="15.75" customHeight="1">
      <c r="A971" s="7"/>
      <c r="B971" s="7"/>
      <c r="C971" s="7"/>
      <c r="F971" s="7"/>
      <c r="G971" s="6"/>
      <c r="K971" s="5"/>
      <c r="N971" s="6"/>
      <c r="Y971" s="5"/>
      <c r="Z971" s="6"/>
      <c r="AA971" s="7"/>
      <c r="AN971" s="5"/>
    </row>
    <row r="972" ht="15.75" customHeight="1">
      <c r="A972" s="7"/>
      <c r="B972" s="7"/>
      <c r="C972" s="7"/>
      <c r="F972" s="7"/>
      <c r="G972" s="6"/>
      <c r="K972" s="5"/>
      <c r="N972" s="6"/>
      <c r="Y972" s="5"/>
      <c r="Z972" s="6"/>
      <c r="AA972" s="7"/>
      <c r="AN972" s="5"/>
    </row>
    <row r="973" ht="15.75" customHeight="1">
      <c r="A973" s="7"/>
      <c r="B973" s="7"/>
      <c r="C973" s="7"/>
      <c r="F973" s="7"/>
      <c r="G973" s="6"/>
      <c r="K973" s="5"/>
      <c r="N973" s="6"/>
      <c r="Y973" s="5"/>
      <c r="Z973" s="6"/>
      <c r="AA973" s="7"/>
      <c r="AN973" s="5"/>
    </row>
    <row r="974" ht="15.75" customHeight="1">
      <c r="A974" s="7"/>
      <c r="B974" s="7"/>
      <c r="C974" s="7"/>
      <c r="F974" s="7"/>
      <c r="G974" s="6"/>
      <c r="K974" s="5"/>
      <c r="N974" s="6"/>
      <c r="Y974" s="5"/>
      <c r="Z974" s="6"/>
      <c r="AA974" s="7"/>
      <c r="AN974" s="5"/>
    </row>
    <row r="975" ht="15.75" customHeight="1">
      <c r="A975" s="7"/>
      <c r="B975" s="7"/>
      <c r="C975" s="7"/>
      <c r="F975" s="7"/>
      <c r="G975" s="6"/>
      <c r="K975" s="5"/>
      <c r="N975" s="6"/>
      <c r="Y975" s="5"/>
      <c r="Z975" s="6"/>
      <c r="AA975" s="7"/>
      <c r="AN975" s="5"/>
    </row>
    <row r="976" ht="15.75" customHeight="1">
      <c r="A976" s="7"/>
      <c r="B976" s="7"/>
      <c r="C976" s="7"/>
      <c r="F976" s="7"/>
      <c r="G976" s="6"/>
      <c r="K976" s="5"/>
      <c r="N976" s="6"/>
      <c r="Y976" s="5"/>
      <c r="Z976" s="6"/>
      <c r="AA976" s="7"/>
      <c r="AN976" s="5"/>
    </row>
    <row r="977" ht="15.75" customHeight="1">
      <c r="A977" s="7"/>
      <c r="B977" s="7"/>
      <c r="C977" s="7"/>
      <c r="F977" s="7"/>
      <c r="G977" s="6"/>
      <c r="K977" s="5"/>
      <c r="N977" s="6"/>
      <c r="Y977" s="5"/>
      <c r="Z977" s="6"/>
      <c r="AA977" s="7"/>
      <c r="AN977" s="5"/>
    </row>
    <row r="978" ht="15.75" customHeight="1">
      <c r="A978" s="7"/>
      <c r="B978" s="7"/>
      <c r="C978" s="7"/>
      <c r="F978" s="7"/>
      <c r="G978" s="6"/>
      <c r="K978" s="5"/>
      <c r="N978" s="6"/>
      <c r="Y978" s="5"/>
      <c r="Z978" s="6"/>
      <c r="AA978" s="7"/>
      <c r="AN978" s="5"/>
    </row>
    <row r="979" ht="15.75" customHeight="1">
      <c r="A979" s="7"/>
      <c r="B979" s="7"/>
      <c r="C979" s="7"/>
      <c r="F979" s="7"/>
      <c r="G979" s="6"/>
      <c r="K979" s="5"/>
      <c r="N979" s="6"/>
      <c r="Y979" s="5"/>
      <c r="Z979" s="6"/>
      <c r="AA979" s="7"/>
      <c r="AN979" s="5"/>
    </row>
    <row r="980" ht="15.75" customHeight="1">
      <c r="A980" s="7"/>
      <c r="B980" s="7"/>
      <c r="C980" s="7"/>
      <c r="F980" s="7"/>
      <c r="G980" s="6"/>
      <c r="K980" s="5"/>
      <c r="N980" s="6"/>
      <c r="Y980" s="5"/>
      <c r="Z980" s="6"/>
      <c r="AA980" s="7"/>
      <c r="AN980" s="5"/>
    </row>
    <row r="981" ht="15.75" customHeight="1">
      <c r="A981" s="7"/>
      <c r="B981" s="7"/>
      <c r="C981" s="7"/>
      <c r="F981" s="7"/>
      <c r="G981" s="6"/>
      <c r="K981" s="5"/>
      <c r="N981" s="6"/>
      <c r="Y981" s="5"/>
      <c r="Z981" s="6"/>
      <c r="AA981" s="7"/>
      <c r="AN981" s="5"/>
    </row>
    <row r="982" ht="15.75" customHeight="1">
      <c r="A982" s="7"/>
      <c r="B982" s="7"/>
      <c r="C982" s="7"/>
      <c r="F982" s="7"/>
      <c r="G982" s="6"/>
      <c r="K982" s="5"/>
      <c r="N982" s="6"/>
      <c r="Y982" s="5"/>
      <c r="Z982" s="6"/>
      <c r="AA982" s="7"/>
      <c r="AN982" s="5"/>
    </row>
    <row r="983" ht="15.75" customHeight="1">
      <c r="A983" s="7"/>
      <c r="B983" s="7"/>
      <c r="C983" s="7"/>
      <c r="F983" s="7"/>
      <c r="G983" s="6"/>
      <c r="K983" s="5"/>
      <c r="N983" s="6"/>
      <c r="Y983" s="5"/>
      <c r="Z983" s="6"/>
      <c r="AA983" s="7"/>
      <c r="AN983" s="5"/>
    </row>
    <row r="984" ht="15.75" customHeight="1">
      <c r="A984" s="7"/>
      <c r="B984" s="7"/>
      <c r="C984" s="7"/>
      <c r="F984" s="7"/>
      <c r="G984" s="6"/>
      <c r="K984" s="5"/>
      <c r="N984" s="6"/>
      <c r="Y984" s="5"/>
      <c r="Z984" s="6"/>
      <c r="AA984" s="7"/>
      <c r="AN984" s="5"/>
    </row>
    <row r="985" ht="15.75" customHeight="1">
      <c r="A985" s="7"/>
      <c r="B985" s="7"/>
      <c r="C985" s="7"/>
      <c r="F985" s="7"/>
      <c r="G985" s="6"/>
      <c r="K985" s="5"/>
      <c r="N985" s="6"/>
      <c r="Y985" s="5"/>
      <c r="Z985" s="6"/>
      <c r="AA985" s="7"/>
      <c r="AN985" s="5"/>
    </row>
    <row r="986" ht="15.75" customHeight="1">
      <c r="A986" s="7"/>
      <c r="B986" s="7"/>
      <c r="C986" s="7"/>
      <c r="F986" s="7"/>
      <c r="G986" s="6"/>
      <c r="K986" s="5"/>
      <c r="N986" s="6"/>
      <c r="Y986" s="5"/>
      <c r="Z986" s="6"/>
      <c r="AA986" s="7"/>
      <c r="AN986" s="5"/>
    </row>
    <row r="987" ht="15.75" customHeight="1">
      <c r="A987" s="7"/>
      <c r="B987" s="7"/>
      <c r="C987" s="7"/>
      <c r="F987" s="7"/>
      <c r="G987" s="6"/>
      <c r="K987" s="5"/>
      <c r="N987" s="6"/>
      <c r="Y987" s="5"/>
      <c r="Z987" s="6"/>
      <c r="AA987" s="7"/>
      <c r="AN987" s="5"/>
    </row>
    <row r="988" ht="15.75" customHeight="1">
      <c r="A988" s="7"/>
      <c r="B988" s="7"/>
      <c r="C988" s="7"/>
      <c r="F988" s="7"/>
      <c r="G988" s="6"/>
      <c r="K988" s="5"/>
      <c r="N988" s="6"/>
      <c r="Y988" s="5"/>
      <c r="Z988" s="6"/>
      <c r="AA988" s="7"/>
      <c r="AN988" s="5"/>
    </row>
    <row r="989" ht="15.75" customHeight="1">
      <c r="A989" s="7"/>
      <c r="B989" s="7"/>
      <c r="C989" s="7"/>
      <c r="F989" s="7"/>
      <c r="G989" s="6"/>
      <c r="K989" s="5"/>
      <c r="N989" s="6"/>
      <c r="Y989" s="5"/>
      <c r="Z989" s="6"/>
      <c r="AA989" s="7"/>
      <c r="AN989" s="5"/>
    </row>
    <row r="990" ht="15.75" customHeight="1">
      <c r="A990" s="7"/>
      <c r="B990" s="7"/>
      <c r="C990" s="7"/>
      <c r="F990" s="7"/>
      <c r="G990" s="6"/>
      <c r="K990" s="5"/>
      <c r="N990" s="6"/>
      <c r="Y990" s="5"/>
      <c r="Z990" s="6"/>
      <c r="AA990" s="7"/>
      <c r="AN990" s="5"/>
    </row>
    <row r="991" ht="15.75" customHeight="1">
      <c r="A991" s="7"/>
      <c r="B991" s="7"/>
      <c r="C991" s="7"/>
      <c r="F991" s="7"/>
      <c r="G991" s="6"/>
      <c r="K991" s="5"/>
      <c r="N991" s="6"/>
      <c r="Y991" s="5"/>
      <c r="Z991" s="6"/>
      <c r="AA991" s="7"/>
      <c r="AN991" s="5"/>
    </row>
    <row r="992" ht="15.75" customHeight="1">
      <c r="A992" s="7"/>
      <c r="B992" s="7"/>
      <c r="C992" s="7"/>
      <c r="F992" s="7"/>
      <c r="G992" s="6"/>
      <c r="K992" s="5"/>
      <c r="N992" s="6"/>
      <c r="Y992" s="5"/>
      <c r="Z992" s="6"/>
      <c r="AA992" s="7"/>
      <c r="AN992" s="5"/>
    </row>
    <row r="993" ht="15.75" customHeight="1">
      <c r="A993" s="7"/>
      <c r="B993" s="7"/>
      <c r="C993" s="7"/>
      <c r="F993" s="7"/>
      <c r="G993" s="6"/>
      <c r="K993" s="5"/>
      <c r="N993" s="6"/>
      <c r="Y993" s="5"/>
      <c r="Z993" s="6"/>
      <c r="AA993" s="7"/>
      <c r="AN993" s="5"/>
    </row>
    <row r="994" ht="15.75" customHeight="1">
      <c r="A994" s="7"/>
      <c r="B994" s="7"/>
      <c r="C994" s="7"/>
      <c r="F994" s="7"/>
      <c r="G994" s="6"/>
      <c r="K994" s="5"/>
      <c r="N994" s="6"/>
      <c r="Y994" s="5"/>
      <c r="Z994" s="6"/>
      <c r="AA994" s="7"/>
      <c r="AN994" s="5"/>
    </row>
    <row r="995" ht="15.75" customHeight="1">
      <c r="A995" s="7"/>
      <c r="B995" s="7"/>
      <c r="C995" s="7"/>
      <c r="F995" s="7"/>
      <c r="G995" s="6"/>
      <c r="K995" s="5"/>
      <c r="N995" s="6"/>
      <c r="Y995" s="5"/>
      <c r="Z995" s="6"/>
      <c r="AA995" s="7"/>
      <c r="AN995" s="5"/>
    </row>
    <row r="996" ht="15.75" customHeight="1">
      <c r="A996" s="7"/>
      <c r="B996" s="7"/>
      <c r="C996" s="7"/>
      <c r="F996" s="7"/>
      <c r="G996" s="6"/>
      <c r="K996" s="5"/>
      <c r="N996" s="6"/>
      <c r="Y996" s="5"/>
      <c r="Z996" s="6"/>
      <c r="AA996" s="7"/>
      <c r="AN996" s="5"/>
    </row>
    <row r="997" ht="15.75" customHeight="1">
      <c r="A997" s="7"/>
      <c r="B997" s="7"/>
      <c r="C997" s="7"/>
      <c r="F997" s="7"/>
      <c r="G997" s="6"/>
      <c r="K997" s="5"/>
      <c r="N997" s="6"/>
      <c r="Y997" s="5"/>
      <c r="Z997" s="6"/>
      <c r="AA997" s="7"/>
      <c r="AN997" s="5"/>
    </row>
    <row r="998" ht="15.75" customHeight="1">
      <c r="A998" s="7"/>
      <c r="B998" s="7"/>
      <c r="C998" s="7"/>
      <c r="F998" s="7"/>
      <c r="G998" s="6"/>
      <c r="K998" s="5"/>
      <c r="N998" s="6"/>
      <c r="Y998" s="5"/>
      <c r="Z998" s="6"/>
      <c r="AA998" s="7"/>
      <c r="AN998" s="5"/>
    </row>
    <row r="999" ht="15.75" customHeight="1">
      <c r="A999" s="7"/>
      <c r="B999" s="7"/>
      <c r="C999" s="7"/>
      <c r="F999" s="7"/>
      <c r="G999" s="6"/>
      <c r="K999" s="5"/>
      <c r="N999" s="6"/>
      <c r="Y999" s="5"/>
      <c r="Z999" s="6"/>
      <c r="AA999" s="7"/>
      <c r="AN999" s="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6" width="8.0"/>
    <col customWidth="1" min="7" max="7" width="13.25"/>
    <col customWidth="1" min="8" max="8" width="13.38"/>
    <col customWidth="1" min="9" max="22" width="8.0"/>
    <col customWidth="1" min="23" max="23" width="9.63"/>
    <col customWidth="1" min="24" max="31" width="8.0"/>
    <col customWidth="1" min="32" max="32" width="6.38"/>
    <col customWidth="1" min="33" max="33" width="16.38"/>
    <col customWidth="1" min="34" max="34" width="17.13"/>
    <col customWidth="1" min="35" max="35" width="16.13"/>
    <col customWidth="1" min="36" max="36" width="16.75"/>
    <col customWidth="1" min="37" max="58" width="8.63"/>
    <col customWidth="1" min="59" max="59" width="8.5"/>
    <col customWidth="1" min="60" max="67" width="8.0"/>
    <col customWidth="1" min="68" max="68" width="8.63"/>
    <col customWidth="1" min="69" max="70" width="8.0"/>
    <col customWidth="1" min="71" max="71" width="8.63"/>
    <col customWidth="1" min="72" max="77" width="8.0"/>
  </cols>
  <sheetData>
    <row r="1">
      <c r="A1" s="59" t="s">
        <v>203</v>
      </c>
      <c r="B1" s="27"/>
      <c r="C1" s="27"/>
      <c r="D1" s="27"/>
      <c r="E1" s="27"/>
      <c r="F1" s="2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2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27"/>
      <c r="BO1" s="47"/>
      <c r="BP1" s="47"/>
      <c r="BQ1" s="27"/>
      <c r="BR1" s="27"/>
      <c r="BS1" s="27"/>
      <c r="BT1" s="27"/>
      <c r="BU1" s="27"/>
      <c r="BV1" s="27"/>
      <c r="BW1" s="27"/>
      <c r="BX1" s="27"/>
      <c r="BY1" s="27"/>
    </row>
    <row r="2">
      <c r="A2" s="27"/>
      <c r="B2" s="27"/>
      <c r="C2" s="27"/>
      <c r="D2" s="27"/>
      <c r="E2" s="27"/>
      <c r="F2" s="27"/>
      <c r="G2" s="60" t="s">
        <v>39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47"/>
      <c r="AD2" s="47"/>
      <c r="AE2" s="47"/>
      <c r="AF2" s="61" t="s">
        <v>204</v>
      </c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47"/>
      <c r="BG2" s="47"/>
      <c r="BH2" s="47"/>
      <c r="BI2" s="47"/>
      <c r="BJ2" s="47"/>
      <c r="BK2" s="47"/>
      <c r="BL2" s="47"/>
      <c r="BM2" s="47"/>
      <c r="BN2" s="27"/>
      <c r="BO2" s="47"/>
      <c r="BP2" s="47"/>
      <c r="BQ2" s="27"/>
      <c r="BR2" s="27"/>
      <c r="BS2" s="27"/>
      <c r="BT2" s="27"/>
      <c r="BU2" s="27"/>
      <c r="BV2" s="27"/>
      <c r="BW2" s="27"/>
      <c r="BX2" s="27"/>
      <c r="BY2" s="27"/>
    </row>
    <row r="3">
      <c r="A3" s="27" t="s">
        <v>205</v>
      </c>
      <c r="B3" s="27" t="s">
        <v>206</v>
      </c>
      <c r="C3" s="27"/>
      <c r="D3" s="27" t="s">
        <v>207</v>
      </c>
      <c r="E3" s="27"/>
      <c r="F3" s="27"/>
      <c r="G3" s="63">
        <v>43353.0</v>
      </c>
      <c r="H3" s="63">
        <v>43353.0</v>
      </c>
      <c r="I3" s="63">
        <v>43353.0</v>
      </c>
      <c r="J3" s="63">
        <v>43353.0</v>
      </c>
      <c r="K3" s="63">
        <v>43353.0</v>
      </c>
      <c r="L3" s="63">
        <v>43334.0</v>
      </c>
      <c r="M3" s="63">
        <v>43334.0</v>
      </c>
      <c r="N3" s="63">
        <v>43334.0</v>
      </c>
      <c r="O3" s="63">
        <v>43334.0</v>
      </c>
      <c r="P3" s="63">
        <v>43328.0</v>
      </c>
      <c r="Q3" s="63">
        <v>43328.0</v>
      </c>
      <c r="R3" s="63">
        <v>43328.0</v>
      </c>
      <c r="S3" s="63">
        <v>43328.0</v>
      </c>
      <c r="T3" s="63">
        <v>43328.0</v>
      </c>
      <c r="U3" s="63">
        <v>43327.0</v>
      </c>
      <c r="V3" s="63">
        <v>42928.0</v>
      </c>
      <c r="W3" s="63">
        <v>42928.0</v>
      </c>
      <c r="X3" s="63">
        <v>42928.0</v>
      </c>
      <c r="Y3" s="63">
        <v>42928.0</v>
      </c>
      <c r="Z3" s="63">
        <v>42928.0</v>
      </c>
      <c r="AA3" s="64">
        <v>43017.0</v>
      </c>
      <c r="AB3" s="64">
        <v>43017.0</v>
      </c>
      <c r="AC3" s="27"/>
      <c r="AD3" s="27"/>
      <c r="AE3" s="27"/>
      <c r="AF3" s="27"/>
      <c r="AG3" s="27" t="s">
        <v>132</v>
      </c>
      <c r="AH3" s="27" t="s">
        <v>132</v>
      </c>
      <c r="AI3" s="27" t="s">
        <v>132</v>
      </c>
      <c r="AJ3" s="63">
        <v>43350.0</v>
      </c>
      <c r="AK3" s="63">
        <v>43350.0</v>
      </c>
      <c r="AL3" s="63">
        <v>43350.0</v>
      </c>
      <c r="AM3" s="63">
        <v>43350.0</v>
      </c>
      <c r="AN3" s="63">
        <v>43343.0</v>
      </c>
      <c r="AO3" s="63">
        <v>43343.0</v>
      </c>
      <c r="AP3" s="63">
        <v>43343.0</v>
      </c>
      <c r="AQ3" s="63">
        <v>43343.0</v>
      </c>
      <c r="AR3" s="63">
        <v>43343.0</v>
      </c>
      <c r="AS3" s="63">
        <v>43343.0</v>
      </c>
      <c r="AT3" s="63">
        <v>43341.0</v>
      </c>
      <c r="AU3" s="63">
        <v>43341.0</v>
      </c>
      <c r="AV3" s="63">
        <v>43341.0</v>
      </c>
      <c r="AW3" s="63">
        <v>43341.0</v>
      </c>
      <c r="AX3" s="63">
        <v>43314.0</v>
      </c>
      <c r="AY3" s="63">
        <v>43314.0</v>
      </c>
      <c r="AZ3" s="63">
        <v>43328.0</v>
      </c>
      <c r="BA3" s="63">
        <v>43328.0</v>
      </c>
      <c r="BB3" s="63">
        <v>43335.0</v>
      </c>
      <c r="BC3" s="63">
        <v>43376.0</v>
      </c>
      <c r="BD3" s="63">
        <v>43019.0</v>
      </c>
      <c r="BE3" s="63">
        <v>43026.0</v>
      </c>
      <c r="BF3" s="47"/>
      <c r="BG3" s="47"/>
      <c r="BH3" s="47"/>
      <c r="BI3" s="47"/>
      <c r="BJ3" s="47"/>
      <c r="BK3" s="47"/>
      <c r="BL3" s="47"/>
      <c r="BM3" s="65"/>
      <c r="BN3" s="27"/>
      <c r="BO3" s="47"/>
      <c r="BP3" s="64"/>
      <c r="BQ3" s="27"/>
      <c r="BR3" s="27"/>
      <c r="BS3" s="64"/>
      <c r="BT3" s="27"/>
      <c r="BU3" s="27"/>
      <c r="BV3" s="65"/>
      <c r="BW3" s="27"/>
      <c r="BX3" s="27"/>
      <c r="BY3" s="65"/>
    </row>
    <row r="4">
      <c r="A4" s="27" t="s">
        <v>208</v>
      </c>
      <c r="B4" s="66" t="s">
        <v>209</v>
      </c>
      <c r="C4" s="67" t="s">
        <v>210</v>
      </c>
      <c r="D4" s="66" t="s">
        <v>39</v>
      </c>
      <c r="E4" s="67" t="s">
        <v>133</v>
      </c>
      <c r="F4" s="27"/>
      <c r="G4" s="27" t="s">
        <v>54</v>
      </c>
      <c r="H4" s="27" t="s">
        <v>60</v>
      </c>
      <c r="I4" s="27" t="s">
        <v>64</v>
      </c>
      <c r="J4" s="27" t="s">
        <v>68</v>
      </c>
      <c r="K4" s="27" t="s">
        <v>72</v>
      </c>
      <c r="L4" s="27" t="s">
        <v>72</v>
      </c>
      <c r="M4" s="27" t="s">
        <v>68</v>
      </c>
      <c r="N4" s="27" t="s">
        <v>60</v>
      </c>
      <c r="O4" s="27" t="s">
        <v>54</v>
      </c>
      <c r="P4" s="27" t="s">
        <v>106</v>
      </c>
      <c r="Q4" s="27" t="s">
        <v>102</v>
      </c>
      <c r="R4" s="27" t="s">
        <v>98</v>
      </c>
      <c r="S4" s="27" t="s">
        <v>64</v>
      </c>
      <c r="T4" s="27" t="s">
        <v>60</v>
      </c>
      <c r="U4" s="27" t="s">
        <v>60</v>
      </c>
      <c r="V4" s="47" t="s">
        <v>113</v>
      </c>
      <c r="W4" s="47" t="s">
        <v>116</v>
      </c>
      <c r="X4" s="47" t="s">
        <v>119</v>
      </c>
      <c r="Y4" s="47" t="s">
        <v>121</v>
      </c>
      <c r="Z4" s="47" t="s">
        <v>122</v>
      </c>
      <c r="AA4" s="47" t="s">
        <v>121</v>
      </c>
      <c r="AB4" s="47" t="s">
        <v>128</v>
      </c>
      <c r="AC4" s="27"/>
      <c r="AD4" s="27"/>
      <c r="AE4" s="27"/>
      <c r="AF4" s="27"/>
      <c r="AG4" s="27" t="s">
        <v>60</v>
      </c>
      <c r="AH4" s="27" t="s">
        <v>137</v>
      </c>
      <c r="AI4" s="27" t="s">
        <v>54</v>
      </c>
      <c r="AJ4" s="27" t="s">
        <v>68</v>
      </c>
      <c r="AK4" s="27" t="s">
        <v>64</v>
      </c>
      <c r="AL4" s="27" t="s">
        <v>60</v>
      </c>
      <c r="AM4" s="27" t="s">
        <v>54</v>
      </c>
      <c r="AN4" s="27" t="s">
        <v>98</v>
      </c>
      <c r="AO4" s="27" t="s">
        <v>72</v>
      </c>
      <c r="AP4" s="27" t="s">
        <v>68</v>
      </c>
      <c r="AQ4" s="27" t="s">
        <v>64</v>
      </c>
      <c r="AR4" s="27" t="s">
        <v>60</v>
      </c>
      <c r="AS4" s="27" t="s">
        <v>211</v>
      </c>
      <c r="AT4" s="27" t="s">
        <v>137</v>
      </c>
      <c r="AU4" s="27" t="s">
        <v>60</v>
      </c>
      <c r="AV4" s="27" t="s">
        <v>212</v>
      </c>
      <c r="AW4" s="27" t="s">
        <v>68</v>
      </c>
      <c r="AX4" s="27" t="s">
        <v>137</v>
      </c>
      <c r="AY4" s="27" t="s">
        <v>64</v>
      </c>
      <c r="AZ4" s="27" t="s">
        <v>213</v>
      </c>
      <c r="BA4" s="27" t="s">
        <v>214</v>
      </c>
      <c r="BB4" s="27" t="s">
        <v>106</v>
      </c>
      <c r="BC4" s="27" t="s">
        <v>195</v>
      </c>
      <c r="BD4" s="27" t="s">
        <v>60</v>
      </c>
      <c r="BE4" s="27" t="s">
        <v>72</v>
      </c>
      <c r="BF4" s="67"/>
      <c r="BG4" s="27"/>
      <c r="BH4" s="67"/>
      <c r="BI4" s="67"/>
      <c r="BJ4" s="68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</row>
    <row r="5">
      <c r="A5" s="27">
        <v>0.0</v>
      </c>
      <c r="B5" s="27">
        <f t="shared" ref="B5:B45" si="1">AVERAGE(G5:AD5)</f>
        <v>0</v>
      </c>
      <c r="C5" s="27">
        <f t="shared" ref="C5:C45" si="2">AVERAGE(AG5:BE5)</f>
        <v>0</v>
      </c>
      <c r="D5" s="27">
        <f t="shared" ref="D5:D45" si="3">STDEV(G5:AD5)/SQRT(COUNT(G5:AD5))</f>
        <v>0</v>
      </c>
      <c r="E5" s="27">
        <f t="shared" ref="E5:E45" si="4">STDEV(AG5:BE5)/SQRT(COUNT(AG5:BE5))</f>
        <v>0</v>
      </c>
      <c r="F5" s="27"/>
      <c r="G5" s="27">
        <v>0.0</v>
      </c>
      <c r="H5" s="27">
        <v>0.0</v>
      </c>
      <c r="I5" s="27">
        <v>0.0</v>
      </c>
      <c r="J5" s="27">
        <v>0.0</v>
      </c>
      <c r="K5" s="27">
        <v>0.0</v>
      </c>
      <c r="L5" s="27">
        <v>0.0</v>
      </c>
      <c r="M5" s="27">
        <v>0.0</v>
      </c>
      <c r="N5" s="27">
        <v>0.0</v>
      </c>
      <c r="O5" s="27">
        <v>0.0</v>
      </c>
      <c r="P5" s="27">
        <v>0.0</v>
      </c>
      <c r="Q5" s="27">
        <v>0.0</v>
      </c>
      <c r="R5" s="27">
        <v>0.0</v>
      </c>
      <c r="S5" s="27">
        <v>0.0</v>
      </c>
      <c r="T5" s="27">
        <v>0.0</v>
      </c>
      <c r="U5" s="27">
        <v>0.0</v>
      </c>
      <c r="V5" s="27">
        <v>0.0</v>
      </c>
      <c r="W5" s="27">
        <v>0.0</v>
      </c>
      <c r="X5" s="27">
        <v>0.0</v>
      </c>
      <c r="Y5" s="27">
        <v>0.0</v>
      </c>
      <c r="Z5" s="27">
        <v>0.0</v>
      </c>
      <c r="AA5" s="27">
        <v>0.0</v>
      </c>
      <c r="AB5" s="27">
        <v>0.0</v>
      </c>
      <c r="AC5" s="27"/>
      <c r="AD5" s="27"/>
      <c r="AE5" s="27"/>
      <c r="AF5" s="27"/>
      <c r="AG5" s="23">
        <v>0.0</v>
      </c>
      <c r="AH5" s="23">
        <v>0.0</v>
      </c>
      <c r="AI5" s="23">
        <v>0.0</v>
      </c>
      <c r="AJ5" s="27">
        <v>0.0</v>
      </c>
      <c r="AK5" s="27">
        <v>0.0</v>
      </c>
      <c r="AL5" s="27">
        <v>0.0</v>
      </c>
      <c r="AM5" s="27">
        <v>0.0</v>
      </c>
      <c r="AN5" s="27">
        <v>0.0</v>
      </c>
      <c r="AO5" s="27">
        <v>0.0</v>
      </c>
      <c r="AP5" s="27">
        <v>0.0</v>
      </c>
      <c r="AQ5" s="27">
        <v>0.0</v>
      </c>
      <c r="AR5" s="27">
        <v>0.0</v>
      </c>
      <c r="AS5" s="27">
        <v>0.0</v>
      </c>
      <c r="AT5" s="27">
        <v>0.0</v>
      </c>
      <c r="AU5" s="27">
        <v>0.0</v>
      </c>
      <c r="AV5" s="27">
        <v>0.0</v>
      </c>
      <c r="AW5" s="27">
        <v>0.0</v>
      </c>
      <c r="AX5" s="27">
        <v>0.0</v>
      </c>
      <c r="AY5" s="27">
        <v>0.0</v>
      </c>
      <c r="AZ5" s="27">
        <v>0.0</v>
      </c>
      <c r="BA5" s="27">
        <v>0.0</v>
      </c>
      <c r="BB5" s="27">
        <v>0.0</v>
      </c>
      <c r="BC5" s="27">
        <v>0.0</v>
      </c>
      <c r="BD5" s="27"/>
      <c r="BE5" s="27">
        <v>0.0</v>
      </c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</row>
    <row r="6">
      <c r="A6" s="27">
        <v>10.0</v>
      </c>
      <c r="B6" s="27">
        <f t="shared" si="1"/>
        <v>0.1022727273</v>
      </c>
      <c r="C6" s="27">
        <f t="shared" si="2"/>
        <v>0</v>
      </c>
      <c r="D6" s="27">
        <f t="shared" si="3"/>
        <v>0.04840276466</v>
      </c>
      <c r="E6" s="27">
        <f t="shared" si="4"/>
        <v>0</v>
      </c>
      <c r="F6" s="27"/>
      <c r="G6" s="27">
        <v>0.0</v>
      </c>
      <c r="H6" s="27">
        <v>0.5</v>
      </c>
      <c r="I6" s="27">
        <v>0.0</v>
      </c>
      <c r="J6" s="27">
        <v>0.0</v>
      </c>
      <c r="K6" s="27">
        <v>0.0</v>
      </c>
      <c r="L6" s="27">
        <v>0.0</v>
      </c>
      <c r="M6" s="27">
        <v>0.0</v>
      </c>
      <c r="N6" s="27">
        <v>0.0</v>
      </c>
      <c r="O6" s="27">
        <v>0.0</v>
      </c>
      <c r="P6" s="27">
        <v>0.0</v>
      </c>
      <c r="Q6" s="27">
        <v>0.0</v>
      </c>
      <c r="R6" s="27">
        <v>0.0</v>
      </c>
      <c r="S6" s="27">
        <v>0.0</v>
      </c>
      <c r="T6" s="27">
        <v>0.0</v>
      </c>
      <c r="U6" s="27">
        <v>0.0</v>
      </c>
      <c r="V6" s="27">
        <v>0.5</v>
      </c>
      <c r="W6" s="27">
        <v>0.0</v>
      </c>
      <c r="X6" s="27">
        <v>0.75</v>
      </c>
      <c r="Y6" s="27">
        <v>0.0</v>
      </c>
      <c r="Z6" s="27">
        <v>0.5</v>
      </c>
      <c r="AA6" s="27">
        <v>0.0</v>
      </c>
      <c r="AB6" s="27">
        <v>0.0</v>
      </c>
      <c r="AC6" s="27"/>
      <c r="AD6" s="27"/>
      <c r="AE6" s="27"/>
      <c r="AF6" s="27"/>
      <c r="AG6" s="23">
        <v>0.0</v>
      </c>
      <c r="AH6" s="23">
        <v>0.0</v>
      </c>
      <c r="AI6" s="23">
        <v>0.0</v>
      </c>
      <c r="AJ6" s="27">
        <v>0.0</v>
      </c>
      <c r="AK6" s="27">
        <v>0.0</v>
      </c>
      <c r="AL6" s="27">
        <v>0.0</v>
      </c>
      <c r="AM6" s="27">
        <v>0.0</v>
      </c>
      <c r="AN6" s="27">
        <v>0.0</v>
      </c>
      <c r="AO6" s="27">
        <v>0.0</v>
      </c>
      <c r="AP6" s="27">
        <v>0.0</v>
      </c>
      <c r="AQ6" s="27">
        <v>0.0</v>
      </c>
      <c r="AR6" s="27">
        <v>0.0</v>
      </c>
      <c r="AS6" s="27">
        <v>0.0</v>
      </c>
      <c r="AT6" s="27">
        <v>0.0</v>
      </c>
      <c r="AU6" s="27">
        <v>0.0</v>
      </c>
      <c r="AV6" s="27">
        <v>0.0</v>
      </c>
      <c r="AW6" s="27">
        <v>0.0</v>
      </c>
      <c r="AX6" s="27">
        <v>0.0</v>
      </c>
      <c r="AY6" s="27">
        <v>0.0</v>
      </c>
      <c r="AZ6" s="27">
        <v>0.0</v>
      </c>
      <c r="BA6" s="27">
        <v>0.0</v>
      </c>
      <c r="BB6" s="27">
        <v>0.0</v>
      </c>
      <c r="BC6" s="27">
        <v>0.0</v>
      </c>
      <c r="BD6" s="27">
        <v>0.0</v>
      </c>
      <c r="BE6" s="27">
        <v>0.0</v>
      </c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</row>
    <row r="7">
      <c r="A7" s="27">
        <v>20.0</v>
      </c>
      <c r="B7" s="27">
        <f t="shared" si="1"/>
        <v>0.6477272727</v>
      </c>
      <c r="C7" s="27">
        <f t="shared" si="2"/>
        <v>0.26</v>
      </c>
      <c r="D7" s="27">
        <f t="shared" si="3"/>
        <v>0.2508961702</v>
      </c>
      <c r="E7" s="27">
        <f t="shared" si="4"/>
        <v>0.2063976744</v>
      </c>
      <c r="F7" s="27"/>
      <c r="G7" s="27">
        <v>0.0</v>
      </c>
      <c r="H7" s="27">
        <v>2.0</v>
      </c>
      <c r="I7" s="27">
        <v>0.0</v>
      </c>
      <c r="J7" s="27">
        <v>0.0</v>
      </c>
      <c r="K7" s="27">
        <v>0.0</v>
      </c>
      <c r="L7" s="27">
        <v>0.0</v>
      </c>
      <c r="M7" s="27">
        <v>0.0</v>
      </c>
      <c r="N7" s="27">
        <v>0.0</v>
      </c>
      <c r="O7" s="27">
        <v>0.0</v>
      </c>
      <c r="P7" s="27">
        <v>0.0</v>
      </c>
      <c r="Q7" s="27">
        <v>3.0</v>
      </c>
      <c r="R7" s="27">
        <v>0.0</v>
      </c>
      <c r="S7" s="27">
        <v>1.0</v>
      </c>
      <c r="T7" s="27">
        <v>0.0</v>
      </c>
      <c r="U7" s="27">
        <v>0.0</v>
      </c>
      <c r="V7" s="27">
        <v>2.5</v>
      </c>
      <c r="W7" s="27">
        <v>0.0</v>
      </c>
      <c r="X7" s="27">
        <v>3.75</v>
      </c>
      <c r="Y7" s="27">
        <v>0.0</v>
      </c>
      <c r="Z7" s="27">
        <v>2.0</v>
      </c>
      <c r="AA7" s="27">
        <v>0.0</v>
      </c>
      <c r="AB7" s="27">
        <v>0.0</v>
      </c>
      <c r="AC7" s="27"/>
      <c r="AD7" s="27"/>
      <c r="AE7" s="27"/>
      <c r="AF7" s="27"/>
      <c r="AG7" s="23">
        <v>0.0</v>
      </c>
      <c r="AH7" s="23">
        <v>0.0</v>
      </c>
      <c r="AI7" s="23">
        <v>0.0</v>
      </c>
      <c r="AJ7" s="27">
        <v>0.0</v>
      </c>
      <c r="AK7" s="27">
        <v>0.0</v>
      </c>
      <c r="AL7" s="27">
        <v>0.0</v>
      </c>
      <c r="AM7" s="27">
        <v>0.0</v>
      </c>
      <c r="AN7" s="27">
        <v>0.0</v>
      </c>
      <c r="AO7" s="27">
        <v>0.0</v>
      </c>
      <c r="AP7" s="27">
        <v>0.0</v>
      </c>
      <c r="AQ7" s="27">
        <v>0.0</v>
      </c>
      <c r="AR7" s="27">
        <v>0.0</v>
      </c>
      <c r="AS7" s="27">
        <v>0.0</v>
      </c>
      <c r="AT7" s="27">
        <v>0.0</v>
      </c>
      <c r="AU7" s="27">
        <v>0.0</v>
      </c>
      <c r="AV7" s="27">
        <v>0.0</v>
      </c>
      <c r="AW7" s="27">
        <v>0.0</v>
      </c>
      <c r="AX7" s="27">
        <v>5.0</v>
      </c>
      <c r="AY7" s="27">
        <v>0.0</v>
      </c>
      <c r="AZ7" s="27">
        <v>0.0</v>
      </c>
      <c r="BA7" s="27">
        <v>0.0</v>
      </c>
      <c r="BB7" s="27">
        <v>1.5</v>
      </c>
      <c r="BC7" s="27">
        <v>0.0</v>
      </c>
      <c r="BD7" s="27">
        <v>0.0</v>
      </c>
      <c r="BE7" s="27">
        <v>0.0</v>
      </c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</row>
    <row r="8">
      <c r="A8" s="27">
        <v>30.0</v>
      </c>
      <c r="B8" s="27">
        <f t="shared" si="1"/>
        <v>1.261363636</v>
      </c>
      <c r="C8" s="27">
        <f t="shared" si="2"/>
        <v>0.48</v>
      </c>
      <c r="D8" s="27">
        <f t="shared" si="3"/>
        <v>0.4659618807</v>
      </c>
      <c r="E8" s="27">
        <f t="shared" si="4"/>
        <v>0.2992769063</v>
      </c>
      <c r="F8" s="27"/>
      <c r="G8" s="27">
        <v>0.0</v>
      </c>
      <c r="H8" s="27">
        <v>5.0</v>
      </c>
      <c r="I8" s="27">
        <v>0.0</v>
      </c>
      <c r="J8" s="27">
        <v>0.0</v>
      </c>
      <c r="K8" s="27">
        <v>0.0</v>
      </c>
      <c r="L8" s="27">
        <v>0.0</v>
      </c>
      <c r="M8" s="27">
        <v>0.0</v>
      </c>
      <c r="N8" s="27">
        <v>0.0</v>
      </c>
      <c r="O8" s="27">
        <v>0.0</v>
      </c>
      <c r="P8" s="27">
        <v>0.0</v>
      </c>
      <c r="Q8" s="27">
        <v>4.0</v>
      </c>
      <c r="R8" s="27">
        <v>0.0</v>
      </c>
      <c r="S8" s="27">
        <v>3.0</v>
      </c>
      <c r="T8" s="27">
        <v>0.0</v>
      </c>
      <c r="U8" s="27">
        <v>0.0</v>
      </c>
      <c r="V8" s="27">
        <v>4.25</v>
      </c>
      <c r="W8" s="27">
        <v>0.0</v>
      </c>
      <c r="X8" s="27">
        <v>6.5</v>
      </c>
      <c r="Y8" s="27">
        <v>0.0</v>
      </c>
      <c r="Z8" s="27">
        <v>5.0</v>
      </c>
      <c r="AA8" s="27">
        <v>0.0</v>
      </c>
      <c r="AB8" s="27">
        <v>0.0</v>
      </c>
      <c r="AC8" s="27"/>
      <c r="AD8" s="27"/>
      <c r="AE8" s="27"/>
      <c r="AF8" s="27"/>
      <c r="AG8" s="23">
        <v>0.0</v>
      </c>
      <c r="AH8" s="23">
        <v>0.0</v>
      </c>
      <c r="AI8" s="23">
        <v>0.0</v>
      </c>
      <c r="AJ8" s="27">
        <v>0.0</v>
      </c>
      <c r="AK8" s="27">
        <v>2.0</v>
      </c>
      <c r="AL8" s="27">
        <v>0.0</v>
      </c>
      <c r="AM8" s="27">
        <v>0.0</v>
      </c>
      <c r="AN8" s="27">
        <v>0.0</v>
      </c>
      <c r="AO8" s="27">
        <v>0.0</v>
      </c>
      <c r="AP8" s="27">
        <v>0.0</v>
      </c>
      <c r="AQ8" s="27">
        <v>0.5</v>
      </c>
      <c r="AR8" s="27">
        <v>0.0</v>
      </c>
      <c r="AS8" s="27">
        <v>0.0</v>
      </c>
      <c r="AT8" s="27">
        <v>0.0</v>
      </c>
      <c r="AU8" s="27">
        <v>0.0</v>
      </c>
      <c r="AV8" s="27">
        <v>0.0</v>
      </c>
      <c r="AW8" s="27">
        <v>0.0</v>
      </c>
      <c r="AX8" s="27">
        <v>7.0</v>
      </c>
      <c r="AY8" s="27">
        <v>0.0</v>
      </c>
      <c r="AZ8" s="27">
        <v>0.0</v>
      </c>
      <c r="BA8" s="27">
        <v>0.0</v>
      </c>
      <c r="BB8" s="27">
        <v>2.5</v>
      </c>
      <c r="BC8" s="27">
        <v>0.0</v>
      </c>
      <c r="BD8" s="27">
        <v>0.0</v>
      </c>
      <c r="BE8" s="27">
        <v>0.0</v>
      </c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</row>
    <row r="9">
      <c r="A9" s="27">
        <v>40.0</v>
      </c>
      <c r="B9" s="27">
        <f t="shared" si="1"/>
        <v>1.869047619</v>
      </c>
      <c r="C9" s="27">
        <f t="shared" si="2"/>
        <v>0.96</v>
      </c>
      <c r="D9" s="27">
        <f t="shared" si="3"/>
        <v>0.7570342839</v>
      </c>
      <c r="E9" s="27">
        <f t="shared" si="4"/>
        <v>0.4222163742</v>
      </c>
      <c r="F9" s="27"/>
      <c r="G9" s="27">
        <v>0.0</v>
      </c>
      <c r="H9" s="27">
        <v>7.0</v>
      </c>
      <c r="I9" s="27">
        <v>0.0</v>
      </c>
      <c r="J9" s="27">
        <v>0.0</v>
      </c>
      <c r="K9" s="27">
        <v>0.0</v>
      </c>
      <c r="L9" s="27">
        <v>0.0</v>
      </c>
      <c r="M9" s="27">
        <v>0.0</v>
      </c>
      <c r="N9" s="27">
        <v>0.0</v>
      </c>
      <c r="O9" s="27">
        <v>0.0</v>
      </c>
      <c r="P9" s="27">
        <v>0.0</v>
      </c>
      <c r="Q9" s="27">
        <v>6.0</v>
      </c>
      <c r="R9" s="27">
        <v>0.0</v>
      </c>
      <c r="S9" s="27"/>
      <c r="T9" s="27">
        <v>0.0</v>
      </c>
      <c r="U9" s="27">
        <v>0.0</v>
      </c>
      <c r="V9" s="27">
        <v>5.5</v>
      </c>
      <c r="W9" s="27">
        <v>0.0</v>
      </c>
      <c r="X9" s="27">
        <v>12.0</v>
      </c>
      <c r="Y9" s="27">
        <v>1.5</v>
      </c>
      <c r="Z9" s="27">
        <v>7.25</v>
      </c>
      <c r="AA9" s="27">
        <v>0.0</v>
      </c>
      <c r="AB9" s="27">
        <v>0.0</v>
      </c>
      <c r="AC9" s="27"/>
      <c r="AD9" s="27"/>
      <c r="AE9" s="27"/>
      <c r="AF9" s="27"/>
      <c r="AG9" s="23">
        <v>0.0</v>
      </c>
      <c r="AH9" s="23">
        <v>0.0</v>
      </c>
      <c r="AI9" s="23">
        <v>0.0</v>
      </c>
      <c r="AJ9" s="27">
        <v>0.0</v>
      </c>
      <c r="AK9" s="27">
        <v>4.0</v>
      </c>
      <c r="AL9" s="27">
        <v>0.0</v>
      </c>
      <c r="AM9" s="27">
        <v>0.0</v>
      </c>
      <c r="AN9" s="27">
        <v>0.0</v>
      </c>
      <c r="AO9" s="27">
        <v>0.0</v>
      </c>
      <c r="AP9" s="27">
        <v>0.0</v>
      </c>
      <c r="AQ9" s="27">
        <v>5.0</v>
      </c>
      <c r="AR9" s="27">
        <v>0.0</v>
      </c>
      <c r="AS9" s="27">
        <v>0.0</v>
      </c>
      <c r="AT9" s="27">
        <v>0.0</v>
      </c>
      <c r="AU9" s="27">
        <v>0.0</v>
      </c>
      <c r="AV9" s="27">
        <v>0.0</v>
      </c>
      <c r="AW9" s="27">
        <v>0.0</v>
      </c>
      <c r="AX9" s="27">
        <v>8.0</v>
      </c>
      <c r="AY9" s="27">
        <v>3.0</v>
      </c>
      <c r="AZ9" s="27">
        <v>0.0</v>
      </c>
      <c r="BA9" s="27">
        <v>0.0</v>
      </c>
      <c r="BB9" s="27">
        <v>4.0</v>
      </c>
      <c r="BC9" s="27">
        <v>0.0</v>
      </c>
      <c r="BD9" s="27">
        <v>0.0</v>
      </c>
      <c r="BE9" s="27">
        <v>0.0</v>
      </c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</row>
    <row r="10">
      <c r="A10" s="27">
        <v>50.0</v>
      </c>
      <c r="B10" s="27">
        <f t="shared" si="1"/>
        <v>2.795454545</v>
      </c>
      <c r="C10" s="27">
        <f t="shared" si="2"/>
        <v>1.479166667</v>
      </c>
      <c r="D10" s="27">
        <f t="shared" si="3"/>
        <v>0.9790329461</v>
      </c>
      <c r="E10" s="27">
        <f t="shared" si="4"/>
        <v>0.6134654227</v>
      </c>
      <c r="F10" s="27"/>
      <c r="G10" s="27">
        <v>0.0</v>
      </c>
      <c r="H10" s="27">
        <v>11.0</v>
      </c>
      <c r="I10" s="27">
        <v>0.0</v>
      </c>
      <c r="J10" s="27">
        <v>0.0</v>
      </c>
      <c r="K10" s="27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8.0</v>
      </c>
      <c r="R10" s="27">
        <v>0.0</v>
      </c>
      <c r="S10" s="27">
        <v>8.0</v>
      </c>
      <c r="T10" s="27">
        <v>0.0</v>
      </c>
      <c r="U10" s="27">
        <v>0.0</v>
      </c>
      <c r="V10" s="27">
        <v>7.5</v>
      </c>
      <c r="W10" s="27">
        <v>0.0</v>
      </c>
      <c r="X10" s="27">
        <v>14.5</v>
      </c>
      <c r="Y10" s="27">
        <v>3.0</v>
      </c>
      <c r="Z10" s="27">
        <v>9.5</v>
      </c>
      <c r="AA10" s="27">
        <v>0.0</v>
      </c>
      <c r="AB10" s="27">
        <v>0.0</v>
      </c>
      <c r="AC10" s="27"/>
      <c r="AD10" s="27"/>
      <c r="AE10" s="27"/>
      <c r="AF10" s="27"/>
      <c r="AG10" s="23">
        <v>0.0</v>
      </c>
      <c r="AH10" s="23">
        <v>0.0</v>
      </c>
      <c r="AI10" s="23">
        <v>0.0</v>
      </c>
      <c r="AJ10" s="27">
        <v>0.0</v>
      </c>
      <c r="AK10" s="27">
        <v>7.0</v>
      </c>
      <c r="AL10" s="27">
        <v>0.0</v>
      </c>
      <c r="AM10" s="27">
        <v>0.0</v>
      </c>
      <c r="AN10" s="27">
        <v>0.0</v>
      </c>
      <c r="AO10" s="27">
        <v>0.0</v>
      </c>
      <c r="AP10" s="27">
        <v>0.0</v>
      </c>
      <c r="AQ10" s="27">
        <v>7.0</v>
      </c>
      <c r="AR10" s="27">
        <v>0.0</v>
      </c>
      <c r="AS10" s="27">
        <v>0.0</v>
      </c>
      <c r="AT10" s="27"/>
      <c r="AU10" s="27">
        <v>0.0</v>
      </c>
      <c r="AV10" s="27">
        <v>0.0</v>
      </c>
      <c r="AW10" s="27">
        <v>0.0</v>
      </c>
      <c r="AX10" s="27">
        <v>9.5</v>
      </c>
      <c r="AY10" s="27">
        <v>6.0</v>
      </c>
      <c r="AZ10" s="27">
        <v>0.0</v>
      </c>
      <c r="BA10" s="27">
        <v>0.0</v>
      </c>
      <c r="BB10" s="27">
        <v>6.0</v>
      </c>
      <c r="BC10" s="27">
        <v>0.0</v>
      </c>
      <c r="BD10" s="27">
        <v>0.0</v>
      </c>
      <c r="BE10" s="27">
        <v>0.0</v>
      </c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</row>
    <row r="11">
      <c r="A11" s="27">
        <v>60.0</v>
      </c>
      <c r="B11" s="27">
        <f t="shared" si="1"/>
        <v>4</v>
      </c>
      <c r="C11" s="27">
        <f t="shared" si="2"/>
        <v>2.14</v>
      </c>
      <c r="D11" s="27">
        <f t="shared" si="3"/>
        <v>1.324000072</v>
      </c>
      <c r="E11" s="27">
        <f t="shared" si="4"/>
        <v>0.7689386625</v>
      </c>
      <c r="F11" s="27"/>
      <c r="G11" s="27">
        <v>3.0</v>
      </c>
      <c r="H11" s="27">
        <v>16.5</v>
      </c>
      <c r="I11" s="27">
        <v>0.0</v>
      </c>
      <c r="J11" s="27">
        <v>0.5</v>
      </c>
      <c r="K11" s="27">
        <v>0.0</v>
      </c>
      <c r="L11" s="27">
        <v>0.0</v>
      </c>
      <c r="M11" s="27">
        <v>0.0</v>
      </c>
      <c r="N11" s="27">
        <v>0.0</v>
      </c>
      <c r="O11" s="27">
        <v>0.0</v>
      </c>
      <c r="P11" s="27">
        <v>0.0</v>
      </c>
      <c r="Q11" s="27">
        <v>10.0</v>
      </c>
      <c r="R11" s="27">
        <v>0.0</v>
      </c>
      <c r="S11" s="27">
        <v>13.0</v>
      </c>
      <c r="T11" s="27">
        <v>0.0</v>
      </c>
      <c r="U11" s="27">
        <v>0.0</v>
      </c>
      <c r="V11" s="27">
        <v>8.5</v>
      </c>
      <c r="W11" s="27">
        <v>0.75</v>
      </c>
      <c r="X11" s="27">
        <v>19.5</v>
      </c>
      <c r="Y11" s="27">
        <v>4.5</v>
      </c>
      <c r="Z11" s="27">
        <v>11.75</v>
      </c>
      <c r="AA11" s="27">
        <v>0.0</v>
      </c>
      <c r="AB11" s="27">
        <v>0.0</v>
      </c>
      <c r="AC11" s="27"/>
      <c r="AD11" s="27"/>
      <c r="AE11" s="27"/>
      <c r="AF11" s="27"/>
      <c r="AG11" s="23">
        <v>0.0</v>
      </c>
      <c r="AH11" s="23">
        <v>0.0</v>
      </c>
      <c r="AI11" s="23">
        <v>0.0</v>
      </c>
      <c r="AJ11" s="27">
        <v>0.0</v>
      </c>
      <c r="AK11" s="27">
        <v>10.0</v>
      </c>
      <c r="AL11" s="27">
        <v>0.0</v>
      </c>
      <c r="AM11" s="27">
        <v>2.5</v>
      </c>
      <c r="AN11" s="27">
        <v>0.0</v>
      </c>
      <c r="AO11" s="27">
        <v>0.0</v>
      </c>
      <c r="AP11" s="27">
        <v>0.0</v>
      </c>
      <c r="AQ11" s="27">
        <v>9.0</v>
      </c>
      <c r="AR11" s="27">
        <v>0.0</v>
      </c>
      <c r="AS11" s="27">
        <v>0.0</v>
      </c>
      <c r="AT11" s="27">
        <v>5.0</v>
      </c>
      <c r="AU11" s="27">
        <v>0.0</v>
      </c>
      <c r="AV11" s="27">
        <v>0.0</v>
      </c>
      <c r="AW11" s="27">
        <v>0.0</v>
      </c>
      <c r="AX11" s="27">
        <v>12.0</v>
      </c>
      <c r="AY11" s="27">
        <v>7.0</v>
      </c>
      <c r="AZ11" s="27">
        <v>0.0</v>
      </c>
      <c r="BA11" s="27">
        <v>0.0</v>
      </c>
      <c r="BB11" s="27">
        <v>8.0</v>
      </c>
      <c r="BC11" s="27">
        <v>0.0</v>
      </c>
      <c r="BD11" s="27">
        <v>0.0</v>
      </c>
      <c r="BE11" s="27">
        <v>0.0</v>
      </c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</row>
    <row r="12">
      <c r="A12" s="27">
        <v>70.0</v>
      </c>
      <c r="B12" s="27">
        <f t="shared" si="1"/>
        <v>4.954545455</v>
      </c>
      <c r="C12" s="27">
        <f t="shared" si="2"/>
        <v>3.04</v>
      </c>
      <c r="D12" s="27">
        <f t="shared" si="3"/>
        <v>1.579823779</v>
      </c>
      <c r="E12" s="27">
        <f t="shared" si="4"/>
        <v>1.068846731</v>
      </c>
      <c r="F12" s="27"/>
      <c r="G12" s="27">
        <v>4.0</v>
      </c>
      <c r="H12" s="27">
        <v>17.0</v>
      </c>
      <c r="I12" s="27">
        <v>0.0</v>
      </c>
      <c r="J12" s="27">
        <v>2.5</v>
      </c>
      <c r="K12" s="27">
        <v>0.0</v>
      </c>
      <c r="L12" s="27">
        <v>0.0</v>
      </c>
      <c r="M12" s="27">
        <v>0.0</v>
      </c>
      <c r="N12" s="27">
        <v>0.0</v>
      </c>
      <c r="O12" s="27">
        <v>0.0</v>
      </c>
      <c r="P12" s="27">
        <v>0.0</v>
      </c>
      <c r="Q12" s="27">
        <v>12.0</v>
      </c>
      <c r="R12" s="27">
        <v>0.0</v>
      </c>
      <c r="S12" s="27">
        <v>16.0</v>
      </c>
      <c r="T12" s="27">
        <v>0.0</v>
      </c>
      <c r="U12" s="27">
        <v>0.0</v>
      </c>
      <c r="V12" s="27">
        <v>10.75</v>
      </c>
      <c r="W12" s="27">
        <v>1.5</v>
      </c>
      <c r="X12" s="27">
        <v>25.0</v>
      </c>
      <c r="Y12" s="27">
        <v>6.0</v>
      </c>
      <c r="Z12" s="27">
        <v>14.25</v>
      </c>
      <c r="AA12" s="27">
        <v>0.0</v>
      </c>
      <c r="AB12" s="27">
        <v>0.0</v>
      </c>
      <c r="AC12" s="27"/>
      <c r="AD12" s="27"/>
      <c r="AE12" s="27"/>
      <c r="AF12" s="27"/>
      <c r="AG12" s="23">
        <v>0.0</v>
      </c>
      <c r="AH12" s="23">
        <v>0.0</v>
      </c>
      <c r="AI12" s="23">
        <v>0.0</v>
      </c>
      <c r="AJ12" s="27">
        <v>0.0</v>
      </c>
      <c r="AK12" s="27">
        <v>14.0</v>
      </c>
      <c r="AL12" s="27">
        <v>1.0</v>
      </c>
      <c r="AM12" s="27">
        <v>4.5</v>
      </c>
      <c r="AN12" s="27">
        <v>0.0</v>
      </c>
      <c r="AO12" s="27">
        <v>0.0</v>
      </c>
      <c r="AP12" s="27">
        <v>0.0</v>
      </c>
      <c r="AQ12" s="27">
        <v>12.0</v>
      </c>
      <c r="AR12" s="27">
        <v>0.0</v>
      </c>
      <c r="AS12" s="27">
        <v>0.0</v>
      </c>
      <c r="AT12" s="27">
        <v>6.0</v>
      </c>
      <c r="AU12" s="27">
        <v>0.0</v>
      </c>
      <c r="AV12" s="27">
        <v>0.0</v>
      </c>
      <c r="AW12" s="27">
        <v>0.0</v>
      </c>
      <c r="AX12" s="27">
        <v>13.5</v>
      </c>
      <c r="AY12" s="27">
        <v>16.0</v>
      </c>
      <c r="AZ12" s="27">
        <v>0.0</v>
      </c>
      <c r="BA12" s="27">
        <v>0.0</v>
      </c>
      <c r="BB12" s="27">
        <v>9.0</v>
      </c>
      <c r="BC12" s="27">
        <v>0.0</v>
      </c>
      <c r="BD12" s="27">
        <v>0.0</v>
      </c>
      <c r="BE12" s="27">
        <v>0.0</v>
      </c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>
      <c r="A13" s="27">
        <v>80.0</v>
      </c>
      <c r="B13" s="27">
        <f t="shared" si="1"/>
        <v>5.535714286</v>
      </c>
      <c r="C13" s="27">
        <f t="shared" si="2"/>
        <v>3.626666667</v>
      </c>
      <c r="D13" s="27">
        <f t="shared" si="3"/>
        <v>1.832111529</v>
      </c>
      <c r="E13" s="27">
        <f t="shared" si="4"/>
        <v>1.276144367</v>
      </c>
      <c r="F13" s="27"/>
      <c r="G13" s="27">
        <v>10.0</v>
      </c>
      <c r="H13" s="27">
        <v>16.0</v>
      </c>
      <c r="I13" s="27">
        <v>0.0</v>
      </c>
      <c r="J13" s="27">
        <v>3.5</v>
      </c>
      <c r="K13" s="27">
        <v>0.0</v>
      </c>
      <c r="L13" s="27">
        <v>0.0</v>
      </c>
      <c r="M13" s="27">
        <v>0.0</v>
      </c>
      <c r="N13" s="27">
        <v>0.0</v>
      </c>
      <c r="O13" s="27">
        <v>0.0</v>
      </c>
      <c r="P13" s="27">
        <v>0.0</v>
      </c>
      <c r="Q13" s="27">
        <v>15.0</v>
      </c>
      <c r="R13" s="27">
        <v>0.0</v>
      </c>
      <c r="S13" s="27"/>
      <c r="T13" s="27">
        <v>0.0</v>
      </c>
      <c r="U13" s="27">
        <v>0.0</v>
      </c>
      <c r="V13" s="27">
        <v>13.75</v>
      </c>
      <c r="W13" s="27">
        <v>3.5</v>
      </c>
      <c r="X13" s="27">
        <v>30.5</v>
      </c>
      <c r="Y13" s="27">
        <v>7.5</v>
      </c>
      <c r="Z13" s="27">
        <v>16.5</v>
      </c>
      <c r="AA13" s="27">
        <v>0.0</v>
      </c>
      <c r="AB13" s="27">
        <v>0.0</v>
      </c>
      <c r="AC13" s="27"/>
      <c r="AD13" s="27"/>
      <c r="AE13" s="27"/>
      <c r="AF13" s="27"/>
      <c r="AG13" s="23">
        <v>0.0</v>
      </c>
      <c r="AH13" s="23">
        <v>0.0</v>
      </c>
      <c r="AI13" s="23">
        <v>0.0</v>
      </c>
      <c r="AJ13" s="27">
        <v>0.0</v>
      </c>
      <c r="AK13" s="27">
        <v>18.0</v>
      </c>
      <c r="AL13" s="27">
        <v>0.0</v>
      </c>
      <c r="AM13" s="27">
        <v>4.0</v>
      </c>
      <c r="AN13" s="27">
        <v>0.0</v>
      </c>
      <c r="AO13" s="27">
        <v>0.6666666666666666</v>
      </c>
      <c r="AP13" s="27">
        <v>0.0</v>
      </c>
      <c r="AQ13" s="27">
        <v>14.5</v>
      </c>
      <c r="AR13" s="27">
        <v>0.0</v>
      </c>
      <c r="AS13" s="27">
        <v>0.0</v>
      </c>
      <c r="AT13" s="27">
        <v>10.0</v>
      </c>
      <c r="AU13" s="27">
        <v>0.0</v>
      </c>
      <c r="AV13" s="27">
        <v>0.0</v>
      </c>
      <c r="AW13" s="27">
        <v>0.0</v>
      </c>
      <c r="AX13" s="27">
        <v>16.0</v>
      </c>
      <c r="AY13" s="27">
        <v>17.0</v>
      </c>
      <c r="AZ13" s="27">
        <v>0.0</v>
      </c>
      <c r="BA13" s="27">
        <v>0.0</v>
      </c>
      <c r="BB13" s="27">
        <v>10.5</v>
      </c>
      <c r="BC13" s="27">
        <v>0.0</v>
      </c>
      <c r="BD13" s="27">
        <v>0.0</v>
      </c>
      <c r="BE13" s="27">
        <v>0.0</v>
      </c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>
      <c r="A14" s="27">
        <v>90.0</v>
      </c>
      <c r="B14" s="27">
        <f t="shared" si="1"/>
        <v>6.333333333</v>
      </c>
      <c r="C14" s="27">
        <f t="shared" si="2"/>
        <v>4.133333333</v>
      </c>
      <c r="D14" s="27">
        <f t="shared" si="3"/>
        <v>1.902561974</v>
      </c>
      <c r="E14" s="27">
        <f t="shared" si="4"/>
        <v>1.452870721</v>
      </c>
      <c r="F14" s="27"/>
      <c r="G14" s="27">
        <v>12.0</v>
      </c>
      <c r="H14" s="27">
        <v>23.0</v>
      </c>
      <c r="I14" s="27">
        <v>0.0</v>
      </c>
      <c r="J14" s="27">
        <v>5.5</v>
      </c>
      <c r="K14" s="27">
        <v>0.0</v>
      </c>
      <c r="L14" s="27">
        <v>0.0</v>
      </c>
      <c r="M14" s="27">
        <v>0.0</v>
      </c>
      <c r="N14" s="27">
        <v>0.0</v>
      </c>
      <c r="O14" s="27">
        <v>0.25</v>
      </c>
      <c r="P14" s="27">
        <v>0.0</v>
      </c>
      <c r="Q14" s="27">
        <v>18.0</v>
      </c>
      <c r="R14" s="27">
        <v>0.0</v>
      </c>
      <c r="S14" s="27">
        <v>24.0</v>
      </c>
      <c r="T14" s="27">
        <v>0.0</v>
      </c>
      <c r="U14" s="27">
        <v>0.0</v>
      </c>
      <c r="V14" s="27">
        <v>15.75</v>
      </c>
      <c r="W14" s="27">
        <v>5.5</v>
      </c>
      <c r="X14" s="27"/>
      <c r="Y14" s="27">
        <v>9.0</v>
      </c>
      <c r="Z14" s="27">
        <v>20.0</v>
      </c>
      <c r="AA14" s="27">
        <v>0.0</v>
      </c>
      <c r="AB14" s="27">
        <v>0.0</v>
      </c>
      <c r="AC14" s="27"/>
      <c r="AD14" s="27"/>
      <c r="AE14" s="27"/>
      <c r="AF14" s="27"/>
      <c r="AG14" s="23">
        <v>0.0</v>
      </c>
      <c r="AH14" s="23">
        <v>0.0</v>
      </c>
      <c r="AI14" s="23">
        <v>0.0</v>
      </c>
      <c r="AJ14" s="27">
        <v>0.0</v>
      </c>
      <c r="AK14" s="27">
        <v>22.0</v>
      </c>
      <c r="AL14" s="27">
        <v>1.0</v>
      </c>
      <c r="AM14" s="27">
        <v>2.5</v>
      </c>
      <c r="AN14" s="27">
        <v>0.0</v>
      </c>
      <c r="AO14" s="27">
        <v>0.3333333333333333</v>
      </c>
      <c r="AP14" s="27">
        <v>0.0</v>
      </c>
      <c r="AQ14" s="27">
        <v>19.5</v>
      </c>
      <c r="AR14" s="27">
        <v>1.0</v>
      </c>
      <c r="AS14" s="27">
        <v>0.0</v>
      </c>
      <c r="AT14" s="27">
        <v>14.0</v>
      </c>
      <c r="AU14" s="27">
        <v>0.0</v>
      </c>
      <c r="AV14" s="27">
        <v>0.0</v>
      </c>
      <c r="AW14" s="27">
        <v>0.0</v>
      </c>
      <c r="AX14" s="27">
        <v>15.0</v>
      </c>
      <c r="AY14" s="27">
        <v>16.0</v>
      </c>
      <c r="AZ14" s="27">
        <v>0.0</v>
      </c>
      <c r="BA14" s="27">
        <v>0.0</v>
      </c>
      <c r="BB14" s="27">
        <v>12.0</v>
      </c>
      <c r="BC14" s="27">
        <v>0.0</v>
      </c>
      <c r="BD14" s="27">
        <v>0.0</v>
      </c>
      <c r="BE14" s="27">
        <v>0.0</v>
      </c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>
      <c r="A15" s="27">
        <v>100.0</v>
      </c>
      <c r="B15" s="27">
        <f t="shared" si="1"/>
        <v>8.920454545</v>
      </c>
      <c r="C15" s="27">
        <f t="shared" si="2"/>
        <v>5.3125</v>
      </c>
      <c r="D15" s="27">
        <f t="shared" si="3"/>
        <v>2.504076026</v>
      </c>
      <c r="E15" s="27">
        <f t="shared" si="4"/>
        <v>1.734353579</v>
      </c>
      <c r="F15" s="27"/>
      <c r="G15" s="27">
        <v>16.0</v>
      </c>
      <c r="H15" s="27">
        <v>26.0</v>
      </c>
      <c r="I15" s="27">
        <v>0.0</v>
      </c>
      <c r="J15" s="27">
        <v>8.0</v>
      </c>
      <c r="K15" s="27">
        <v>0.0</v>
      </c>
      <c r="L15" s="27">
        <v>0.0</v>
      </c>
      <c r="M15" s="27">
        <v>1.0</v>
      </c>
      <c r="N15" s="27">
        <v>0.0</v>
      </c>
      <c r="O15" s="27">
        <v>1.0</v>
      </c>
      <c r="P15" s="27">
        <v>0.0</v>
      </c>
      <c r="Q15" s="27">
        <v>19.0</v>
      </c>
      <c r="R15" s="27">
        <v>0.0</v>
      </c>
      <c r="S15" s="27">
        <v>28.0</v>
      </c>
      <c r="T15" s="27">
        <v>0.0</v>
      </c>
      <c r="U15" s="27">
        <v>0.0</v>
      </c>
      <c r="V15" s="27">
        <v>18.25</v>
      </c>
      <c r="W15" s="27">
        <v>7.5</v>
      </c>
      <c r="X15" s="27">
        <v>39.0</v>
      </c>
      <c r="Y15" s="27">
        <v>10.5</v>
      </c>
      <c r="Z15" s="27">
        <v>22.0</v>
      </c>
      <c r="AA15" s="27">
        <v>0.0</v>
      </c>
      <c r="AB15" s="27">
        <v>0.0</v>
      </c>
      <c r="AC15" s="27"/>
      <c r="AD15" s="27"/>
      <c r="AE15" s="27"/>
      <c r="AF15" s="27"/>
      <c r="AG15" s="23">
        <v>0.0</v>
      </c>
      <c r="AH15" s="23">
        <v>0.0</v>
      </c>
      <c r="AI15" s="23">
        <v>0.0</v>
      </c>
      <c r="AJ15" s="27">
        <v>0.0</v>
      </c>
      <c r="AK15" s="27">
        <v>23.0</v>
      </c>
      <c r="AL15" s="27">
        <v>2.0</v>
      </c>
      <c r="AM15" s="27">
        <v>7.0</v>
      </c>
      <c r="AN15" s="27">
        <v>0.0</v>
      </c>
      <c r="AO15" s="27">
        <v>1.0</v>
      </c>
      <c r="AP15" s="27">
        <v>0.0</v>
      </c>
      <c r="AQ15" s="27">
        <v>22.5</v>
      </c>
      <c r="AR15" s="27">
        <v>3.0</v>
      </c>
      <c r="AS15" s="27">
        <v>1.0</v>
      </c>
      <c r="AT15" s="27">
        <v>18.0</v>
      </c>
      <c r="AU15" s="27">
        <v>0.0</v>
      </c>
      <c r="AV15" s="27">
        <v>1.5</v>
      </c>
      <c r="AW15" s="27">
        <v>0.0</v>
      </c>
      <c r="AX15" s="27">
        <v>19.0</v>
      </c>
      <c r="AY15" s="27">
        <v>23.0</v>
      </c>
      <c r="AZ15" s="27">
        <v>4.0</v>
      </c>
      <c r="BA15" s="27">
        <v>2.5</v>
      </c>
      <c r="BB15" s="27"/>
      <c r="BC15" s="27">
        <v>0.0</v>
      </c>
      <c r="BD15" s="27">
        <v>0.0</v>
      </c>
      <c r="BE15" s="27">
        <v>0.0</v>
      </c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</row>
    <row r="16">
      <c r="A16" s="27">
        <v>110.0</v>
      </c>
      <c r="B16" s="27">
        <f t="shared" si="1"/>
        <v>10.21590909</v>
      </c>
      <c r="C16" s="27">
        <f t="shared" si="2"/>
        <v>6.31</v>
      </c>
      <c r="D16" s="27">
        <f t="shared" si="3"/>
        <v>2.816602729</v>
      </c>
      <c r="E16" s="27">
        <f t="shared" si="4"/>
        <v>1.725982812</v>
      </c>
      <c r="F16" s="27"/>
      <c r="G16" s="27">
        <v>15.0</v>
      </c>
      <c r="H16" s="27">
        <v>25.5</v>
      </c>
      <c r="I16" s="27">
        <v>0.0</v>
      </c>
      <c r="J16" s="27">
        <v>12.0</v>
      </c>
      <c r="K16" s="27">
        <v>0.0</v>
      </c>
      <c r="L16" s="27">
        <v>0.0</v>
      </c>
      <c r="M16" s="27">
        <v>4.0</v>
      </c>
      <c r="N16" s="27">
        <v>0.0</v>
      </c>
      <c r="O16" s="27">
        <v>1.25</v>
      </c>
      <c r="P16" s="27">
        <v>0.0</v>
      </c>
      <c r="Q16" s="27">
        <v>20.0</v>
      </c>
      <c r="R16" s="27">
        <v>0.0</v>
      </c>
      <c r="S16" s="27">
        <v>31.0</v>
      </c>
      <c r="T16" s="27">
        <v>0.0</v>
      </c>
      <c r="U16" s="27">
        <v>0.0</v>
      </c>
      <c r="V16" s="27">
        <v>20.75</v>
      </c>
      <c r="W16" s="27">
        <v>10.75</v>
      </c>
      <c r="X16" s="27">
        <v>47.0</v>
      </c>
      <c r="Y16" s="27">
        <v>11.5</v>
      </c>
      <c r="Z16" s="27">
        <v>26.0</v>
      </c>
      <c r="AA16" s="27">
        <v>0.0</v>
      </c>
      <c r="AB16" s="27">
        <v>0.0</v>
      </c>
      <c r="AC16" s="27"/>
      <c r="AD16" s="27"/>
      <c r="AE16" s="27"/>
      <c r="AF16" s="27"/>
      <c r="AG16" s="23">
        <v>0.0</v>
      </c>
      <c r="AH16" s="23">
        <v>0.0</v>
      </c>
      <c r="AI16" s="23">
        <v>0.0</v>
      </c>
      <c r="AJ16" s="27">
        <v>0.0</v>
      </c>
      <c r="AK16" s="27">
        <v>26.0</v>
      </c>
      <c r="AL16" s="27">
        <v>2.5</v>
      </c>
      <c r="AM16" s="27">
        <v>12.5</v>
      </c>
      <c r="AN16" s="27">
        <v>0.0</v>
      </c>
      <c r="AO16" s="27">
        <v>1.0</v>
      </c>
      <c r="AP16" s="27">
        <v>2.0</v>
      </c>
      <c r="AQ16" s="27">
        <v>24.0</v>
      </c>
      <c r="AR16" s="27">
        <v>8.0</v>
      </c>
      <c r="AS16" s="27">
        <v>3.0</v>
      </c>
      <c r="AT16" s="27">
        <v>19.0</v>
      </c>
      <c r="AU16" s="27">
        <v>0.0</v>
      </c>
      <c r="AV16" s="27">
        <v>1.0</v>
      </c>
      <c r="AW16" s="27">
        <v>0.0</v>
      </c>
      <c r="AX16" s="27">
        <v>20.5</v>
      </c>
      <c r="AY16" s="27">
        <v>15.0</v>
      </c>
      <c r="AZ16" s="27">
        <v>4.25</v>
      </c>
      <c r="BA16" s="27">
        <v>3.0</v>
      </c>
      <c r="BB16" s="27">
        <v>16.0</v>
      </c>
      <c r="BC16" s="27">
        <v>0.0</v>
      </c>
      <c r="BD16" s="27">
        <v>0.0</v>
      </c>
      <c r="BE16" s="27">
        <v>0.0</v>
      </c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</row>
    <row r="17">
      <c r="A17" s="27">
        <v>120.0</v>
      </c>
      <c r="B17" s="27">
        <f t="shared" si="1"/>
        <v>11.875</v>
      </c>
      <c r="C17" s="27">
        <f t="shared" si="2"/>
        <v>8.26</v>
      </c>
      <c r="D17" s="27">
        <f t="shared" si="3"/>
        <v>3.29357033</v>
      </c>
      <c r="E17" s="27">
        <f t="shared" si="4"/>
        <v>1.963016386</v>
      </c>
      <c r="F17" s="27"/>
      <c r="G17" s="27">
        <v>18.0</v>
      </c>
      <c r="H17" s="27">
        <v>31.0</v>
      </c>
      <c r="I17" s="27">
        <v>0.0</v>
      </c>
      <c r="J17" s="27">
        <v>15.5</v>
      </c>
      <c r="K17" s="27">
        <v>0.0</v>
      </c>
      <c r="L17" s="27">
        <v>0.0</v>
      </c>
      <c r="M17" s="27">
        <v>5.0</v>
      </c>
      <c r="N17" s="27">
        <v>0.0</v>
      </c>
      <c r="O17" s="27">
        <v>2.25</v>
      </c>
      <c r="P17" s="27">
        <v>0.0</v>
      </c>
      <c r="Q17" s="27">
        <v>23.0</v>
      </c>
      <c r="R17" s="27">
        <v>1.0</v>
      </c>
      <c r="S17" s="27">
        <v>34.0</v>
      </c>
      <c r="T17" s="27">
        <v>0.0</v>
      </c>
      <c r="U17" s="27">
        <v>0.0</v>
      </c>
      <c r="V17" s="27">
        <v>22.0</v>
      </c>
      <c r="W17" s="27">
        <v>13.25</v>
      </c>
      <c r="X17" s="27">
        <v>58.25</v>
      </c>
      <c r="Y17" s="27">
        <v>12.0</v>
      </c>
      <c r="Z17" s="27">
        <v>26.0</v>
      </c>
      <c r="AA17" s="27">
        <v>0.0</v>
      </c>
      <c r="AB17" s="27">
        <v>0.0</v>
      </c>
      <c r="AC17" s="27"/>
      <c r="AD17" s="27"/>
      <c r="AE17" s="27"/>
      <c r="AF17" s="27"/>
      <c r="AG17" s="23">
        <v>0.0</v>
      </c>
      <c r="AH17" s="23">
        <v>0.0</v>
      </c>
      <c r="AI17" s="23">
        <v>0.0</v>
      </c>
      <c r="AJ17" s="27">
        <v>0.0</v>
      </c>
      <c r="AK17" s="27">
        <v>31.0</v>
      </c>
      <c r="AL17" s="27">
        <v>2.5</v>
      </c>
      <c r="AM17" s="27">
        <v>13.0</v>
      </c>
      <c r="AN17" s="27">
        <v>2.0</v>
      </c>
      <c r="AO17" s="27">
        <v>3.0</v>
      </c>
      <c r="AP17" s="27">
        <v>7.0</v>
      </c>
      <c r="AQ17" s="27">
        <v>27.0</v>
      </c>
      <c r="AR17" s="27">
        <v>9.0</v>
      </c>
      <c r="AS17" s="27">
        <v>6.0</v>
      </c>
      <c r="AT17" s="27">
        <v>24.0</v>
      </c>
      <c r="AU17" s="27">
        <v>0.0</v>
      </c>
      <c r="AV17" s="27">
        <v>3.5</v>
      </c>
      <c r="AW17" s="27">
        <v>0.0</v>
      </c>
      <c r="AX17" s="27">
        <v>23.0</v>
      </c>
      <c r="AY17" s="27">
        <v>19.0</v>
      </c>
      <c r="AZ17" s="27">
        <v>9.0</v>
      </c>
      <c r="BA17" s="27">
        <v>9.5</v>
      </c>
      <c r="BB17" s="27">
        <v>18.0</v>
      </c>
      <c r="BC17" s="27">
        <v>0.0</v>
      </c>
      <c r="BD17" s="27">
        <v>0.0</v>
      </c>
      <c r="BE17" s="27">
        <v>0.0</v>
      </c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</row>
    <row r="18">
      <c r="A18" s="27">
        <v>130.0</v>
      </c>
      <c r="B18" s="27">
        <f t="shared" si="1"/>
        <v>11.82142857</v>
      </c>
      <c r="C18" s="27">
        <f t="shared" si="2"/>
        <v>8.666666667</v>
      </c>
      <c r="D18" s="27">
        <f t="shared" si="3"/>
        <v>3.055447071</v>
      </c>
      <c r="E18" s="27">
        <f t="shared" si="4"/>
        <v>2.24388595</v>
      </c>
      <c r="F18" s="27"/>
      <c r="G18" s="27">
        <v>22.0</v>
      </c>
      <c r="H18" s="27">
        <v>34.0</v>
      </c>
      <c r="I18" s="27">
        <v>0.0</v>
      </c>
      <c r="J18" s="27">
        <v>17.0</v>
      </c>
      <c r="K18" s="27">
        <v>0.0</v>
      </c>
      <c r="L18" s="27">
        <v>0.0</v>
      </c>
      <c r="M18" s="27">
        <v>3.0</v>
      </c>
      <c r="N18" s="27">
        <v>0.0</v>
      </c>
      <c r="O18" s="27">
        <v>3.75</v>
      </c>
      <c r="P18" s="27">
        <v>0.0</v>
      </c>
      <c r="Q18" s="27">
        <v>26.0</v>
      </c>
      <c r="R18" s="27">
        <v>5.0</v>
      </c>
      <c r="S18" s="27">
        <v>36.0</v>
      </c>
      <c r="T18" s="27">
        <v>0.0</v>
      </c>
      <c r="U18" s="27">
        <v>0.0</v>
      </c>
      <c r="V18" s="27"/>
      <c r="W18" s="27">
        <v>15.75</v>
      </c>
      <c r="X18" s="27">
        <v>39.0</v>
      </c>
      <c r="Y18" s="27">
        <v>13.0</v>
      </c>
      <c r="Z18" s="27">
        <v>31.0</v>
      </c>
      <c r="AA18" s="27">
        <v>2.75</v>
      </c>
      <c r="AB18" s="27">
        <v>0.0</v>
      </c>
      <c r="AC18" s="27"/>
      <c r="AD18" s="27"/>
      <c r="AE18" s="27"/>
      <c r="AF18" s="27"/>
      <c r="AG18" s="23">
        <v>0.0</v>
      </c>
      <c r="AH18" s="23">
        <v>0.0</v>
      </c>
      <c r="AI18" s="23">
        <v>0.0</v>
      </c>
      <c r="AJ18" s="27">
        <v>2.0</v>
      </c>
      <c r="AK18" s="27">
        <v>32.0</v>
      </c>
      <c r="AL18" s="27">
        <v>3.0</v>
      </c>
      <c r="AM18" s="27">
        <v>18.0</v>
      </c>
      <c r="AN18" s="27">
        <v>1.0</v>
      </c>
      <c r="AO18" s="27">
        <v>4.0</v>
      </c>
      <c r="AP18" s="27">
        <v>9.0</v>
      </c>
      <c r="AQ18" s="27">
        <v>33.5</v>
      </c>
      <c r="AR18" s="27">
        <v>11.0</v>
      </c>
      <c r="AS18" s="27">
        <v>12.0</v>
      </c>
      <c r="AT18" s="27">
        <v>24.0</v>
      </c>
      <c r="AU18" s="27">
        <v>0.0</v>
      </c>
      <c r="AV18" s="27">
        <v>2.0</v>
      </c>
      <c r="AW18" s="27">
        <v>0.0</v>
      </c>
      <c r="AX18" s="27">
        <v>23.0</v>
      </c>
      <c r="AY18" s="27"/>
      <c r="AZ18" s="27">
        <v>14.833333333333332</v>
      </c>
      <c r="BA18" s="27">
        <v>10.0</v>
      </c>
      <c r="BB18" s="27"/>
      <c r="BC18" s="27">
        <v>0.0</v>
      </c>
      <c r="BD18" s="27">
        <v>0.0</v>
      </c>
      <c r="BE18" s="27">
        <v>0.0</v>
      </c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</row>
    <row r="19">
      <c r="A19" s="27">
        <v>140.0</v>
      </c>
      <c r="B19" s="27">
        <f t="shared" si="1"/>
        <v>12.39285714</v>
      </c>
      <c r="C19" s="27">
        <f t="shared" si="2"/>
        <v>9.369565217</v>
      </c>
      <c r="D19" s="27">
        <f t="shared" si="3"/>
        <v>2.918361995</v>
      </c>
      <c r="E19" s="27">
        <f t="shared" si="4"/>
        <v>2.334367278</v>
      </c>
      <c r="F19" s="27"/>
      <c r="G19" s="27">
        <v>24.0</v>
      </c>
      <c r="H19" s="27">
        <v>34.5</v>
      </c>
      <c r="I19" s="27">
        <v>0.0</v>
      </c>
      <c r="J19" s="27">
        <v>20.0</v>
      </c>
      <c r="K19" s="27">
        <v>0.0</v>
      </c>
      <c r="L19" s="27">
        <v>0.0</v>
      </c>
      <c r="M19" s="27">
        <v>7.0</v>
      </c>
      <c r="N19" s="27">
        <v>0.0</v>
      </c>
      <c r="O19" s="27">
        <v>5.75</v>
      </c>
      <c r="P19" s="27">
        <v>0.0</v>
      </c>
      <c r="Q19" s="27">
        <v>28.0</v>
      </c>
      <c r="R19" s="27">
        <v>6.0</v>
      </c>
      <c r="S19" s="27">
        <v>40.0</v>
      </c>
      <c r="T19" s="27">
        <v>0.0</v>
      </c>
      <c r="U19" s="27">
        <v>0.0</v>
      </c>
      <c r="V19" s="27"/>
      <c r="W19" s="27">
        <v>17.5</v>
      </c>
      <c r="X19" s="27">
        <v>24.5</v>
      </c>
      <c r="Y19" s="27">
        <v>14.5</v>
      </c>
      <c r="Z19" s="27">
        <v>31.0</v>
      </c>
      <c r="AA19" s="27">
        <v>7.5</v>
      </c>
      <c r="AB19" s="27">
        <v>0.0</v>
      </c>
      <c r="AC19" s="27"/>
      <c r="AD19" s="27"/>
      <c r="AE19" s="27"/>
      <c r="AF19" s="27"/>
      <c r="AG19" s="23">
        <v>1.0</v>
      </c>
      <c r="AH19" s="23">
        <v>0.0</v>
      </c>
      <c r="AI19" s="23">
        <v>0.0</v>
      </c>
      <c r="AJ19" s="27">
        <v>0.0</v>
      </c>
      <c r="AK19" s="27">
        <v>34.0</v>
      </c>
      <c r="AL19" s="27">
        <v>5.0</v>
      </c>
      <c r="AM19" s="27">
        <v>17.0</v>
      </c>
      <c r="AN19" s="27">
        <v>2.0</v>
      </c>
      <c r="AO19" s="27">
        <v>4.333333333333333</v>
      </c>
      <c r="AP19" s="27">
        <v>9.0</v>
      </c>
      <c r="AQ19" s="27">
        <v>35.0</v>
      </c>
      <c r="AR19" s="27">
        <v>14.0</v>
      </c>
      <c r="AS19" s="27">
        <v>17.0</v>
      </c>
      <c r="AT19" s="27">
        <v>22.0</v>
      </c>
      <c r="AU19" s="27">
        <v>0.0</v>
      </c>
      <c r="AV19" s="27">
        <v>2.0</v>
      </c>
      <c r="AW19" s="27">
        <v>0.0</v>
      </c>
      <c r="AX19" s="27">
        <v>25.0</v>
      </c>
      <c r="AY19" s="27"/>
      <c r="AZ19" s="27">
        <v>15.666666666666666</v>
      </c>
      <c r="BA19" s="27">
        <v>11.5</v>
      </c>
      <c r="BB19" s="27"/>
      <c r="BC19" s="27">
        <v>1.0</v>
      </c>
      <c r="BD19" s="27">
        <v>0.0</v>
      </c>
      <c r="BE19" s="27">
        <v>0.0</v>
      </c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</row>
    <row r="20">
      <c r="A20" s="27">
        <v>150.0</v>
      </c>
      <c r="B20" s="27">
        <f t="shared" si="1"/>
        <v>12.0625</v>
      </c>
      <c r="C20" s="27">
        <f t="shared" si="2"/>
        <v>11.03409091</v>
      </c>
      <c r="D20" s="27">
        <f t="shared" si="3"/>
        <v>3.017649562</v>
      </c>
      <c r="E20" s="27">
        <f t="shared" si="4"/>
        <v>2.519098879</v>
      </c>
      <c r="F20" s="27"/>
      <c r="G20" s="27">
        <v>26.0</v>
      </c>
      <c r="H20" s="27">
        <v>37.5</v>
      </c>
      <c r="I20" s="27">
        <v>0.0</v>
      </c>
      <c r="J20" s="27">
        <v>20.5</v>
      </c>
      <c r="K20" s="27">
        <v>0.0</v>
      </c>
      <c r="L20" s="27">
        <v>2.0</v>
      </c>
      <c r="M20" s="27">
        <v>9.0</v>
      </c>
      <c r="N20" s="27">
        <v>0.0</v>
      </c>
      <c r="O20" s="27">
        <v>5.25</v>
      </c>
      <c r="P20" s="27">
        <v>0.0</v>
      </c>
      <c r="Q20" s="27">
        <v>31.0</v>
      </c>
      <c r="R20" s="27">
        <v>11.0</v>
      </c>
      <c r="S20" s="27">
        <v>43.0</v>
      </c>
      <c r="T20" s="27">
        <v>0.0</v>
      </c>
      <c r="U20" s="27">
        <v>0.0</v>
      </c>
      <c r="V20" s="27"/>
      <c r="W20" s="27">
        <v>18.75</v>
      </c>
      <c r="X20" s="27">
        <v>11.5</v>
      </c>
      <c r="Y20" s="27">
        <v>15.0</v>
      </c>
      <c r="Z20" s="27"/>
      <c r="AA20" s="27">
        <v>10.75</v>
      </c>
      <c r="AB20" s="27">
        <v>0.0</v>
      </c>
      <c r="AC20" s="27"/>
      <c r="AD20" s="27"/>
      <c r="AE20" s="27"/>
      <c r="AF20" s="27"/>
      <c r="AG20" s="23">
        <v>16.0</v>
      </c>
      <c r="AH20" s="23">
        <v>0.0</v>
      </c>
      <c r="AI20" s="23">
        <v>0.0</v>
      </c>
      <c r="AJ20" s="27">
        <v>5.0</v>
      </c>
      <c r="AK20" s="27">
        <v>38.0</v>
      </c>
      <c r="AL20" s="27">
        <v>8.0</v>
      </c>
      <c r="AM20" s="27">
        <v>21.5</v>
      </c>
      <c r="AN20" s="27">
        <v>3.0</v>
      </c>
      <c r="AO20" s="27">
        <v>5.0</v>
      </c>
      <c r="AP20" s="27">
        <v>13.0</v>
      </c>
      <c r="AQ20" s="27">
        <v>39.0</v>
      </c>
      <c r="AR20" s="27">
        <v>15.0</v>
      </c>
      <c r="AS20" s="27">
        <v>13.0</v>
      </c>
      <c r="AT20" s="27">
        <v>24.0</v>
      </c>
      <c r="AU20" s="27">
        <v>0.0</v>
      </c>
      <c r="AV20" s="27">
        <v>5.0</v>
      </c>
      <c r="AW20" s="27">
        <v>0.0</v>
      </c>
      <c r="AX20" s="27"/>
      <c r="AY20" s="27"/>
      <c r="AZ20" s="27">
        <v>21.25</v>
      </c>
      <c r="BA20" s="27">
        <v>13.5</v>
      </c>
      <c r="BB20" s="27"/>
      <c r="BC20" s="27">
        <v>2.5</v>
      </c>
      <c r="BD20" s="27">
        <v>0.0</v>
      </c>
      <c r="BE20" s="27">
        <v>0.0</v>
      </c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</row>
    <row r="21" ht="15.75" customHeight="1">
      <c r="A21" s="27">
        <v>160.0</v>
      </c>
      <c r="B21" s="27">
        <f t="shared" si="1"/>
        <v>14.54761905</v>
      </c>
      <c r="C21" s="27">
        <f t="shared" si="2"/>
        <v>11.99621212</v>
      </c>
      <c r="D21" s="27">
        <f t="shared" si="3"/>
        <v>3.37001921</v>
      </c>
      <c r="E21" s="27">
        <f t="shared" si="4"/>
        <v>2.719713173</v>
      </c>
      <c r="F21" s="27"/>
      <c r="G21" s="27">
        <v>25.0</v>
      </c>
      <c r="H21" s="27">
        <v>40.5</v>
      </c>
      <c r="I21" s="27">
        <v>0.0</v>
      </c>
      <c r="J21" s="27">
        <v>21.5</v>
      </c>
      <c r="K21" s="27">
        <v>0.0</v>
      </c>
      <c r="L21" s="27">
        <v>0.0</v>
      </c>
      <c r="M21" s="27">
        <v>13.0</v>
      </c>
      <c r="N21" s="27">
        <v>0.0</v>
      </c>
      <c r="O21" s="27">
        <v>10.75</v>
      </c>
      <c r="P21" s="27">
        <v>0.0</v>
      </c>
      <c r="Q21" s="27">
        <v>33.0</v>
      </c>
      <c r="R21" s="27">
        <v>12.0</v>
      </c>
      <c r="S21" s="27">
        <v>49.0</v>
      </c>
      <c r="T21" s="27">
        <v>0.0</v>
      </c>
      <c r="U21" s="27">
        <v>0.0</v>
      </c>
      <c r="V21" s="27"/>
      <c r="W21" s="27">
        <v>19.25</v>
      </c>
      <c r="X21" s="27">
        <v>9.0</v>
      </c>
      <c r="Y21" s="27">
        <v>16.0</v>
      </c>
      <c r="Z21" s="27">
        <v>39.75</v>
      </c>
      <c r="AA21" s="27">
        <v>16.75</v>
      </c>
      <c r="AB21" s="27">
        <v>0.0</v>
      </c>
      <c r="AC21" s="27"/>
      <c r="AD21" s="27"/>
      <c r="AE21" s="27"/>
      <c r="AF21" s="27"/>
      <c r="AG21" s="23">
        <v>18.0</v>
      </c>
      <c r="AH21" s="23">
        <v>0.0</v>
      </c>
      <c r="AI21" s="23">
        <v>0.0</v>
      </c>
      <c r="AJ21" s="27">
        <v>3.0</v>
      </c>
      <c r="AK21" s="27">
        <v>40.0</v>
      </c>
      <c r="AL21" s="27">
        <v>8.5</v>
      </c>
      <c r="AM21" s="27">
        <v>21.5</v>
      </c>
      <c r="AN21" s="27">
        <v>3.0</v>
      </c>
      <c r="AO21" s="27">
        <v>4.5</v>
      </c>
      <c r="AP21" s="27">
        <v>13.0</v>
      </c>
      <c r="AQ21" s="27">
        <v>42.0</v>
      </c>
      <c r="AR21" s="27">
        <v>16.0</v>
      </c>
      <c r="AS21" s="27">
        <v>21.0</v>
      </c>
      <c r="AT21" s="27">
        <v>27.0</v>
      </c>
      <c r="AU21" s="27">
        <v>0.0</v>
      </c>
      <c r="AV21" s="27">
        <v>7.0</v>
      </c>
      <c r="AW21" s="27">
        <v>0.0</v>
      </c>
      <c r="AX21" s="27"/>
      <c r="AY21" s="27"/>
      <c r="AZ21" s="27">
        <v>21.916666666666668</v>
      </c>
      <c r="BA21" s="27">
        <v>13.5</v>
      </c>
      <c r="BB21" s="27"/>
      <c r="BC21" s="27">
        <v>4.0</v>
      </c>
      <c r="BD21" s="27">
        <v>0.0</v>
      </c>
      <c r="BE21" s="27">
        <v>0.0</v>
      </c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</row>
    <row r="22" ht="15.75" customHeight="1">
      <c r="A22" s="27">
        <v>170.0</v>
      </c>
      <c r="B22" s="27">
        <f t="shared" si="1"/>
        <v>15.38095238</v>
      </c>
      <c r="C22" s="27">
        <f t="shared" si="2"/>
        <v>14.57954545</v>
      </c>
      <c r="D22" s="27">
        <f t="shared" si="3"/>
        <v>3.491597868</v>
      </c>
      <c r="E22" s="27">
        <f t="shared" si="4"/>
        <v>2.884336781</v>
      </c>
      <c r="F22" s="27"/>
      <c r="G22" s="27">
        <v>27.0</v>
      </c>
      <c r="H22" s="27">
        <v>43.5</v>
      </c>
      <c r="I22" s="27">
        <v>0.0</v>
      </c>
      <c r="J22" s="27">
        <v>25.5</v>
      </c>
      <c r="K22" s="27">
        <v>0.0</v>
      </c>
      <c r="L22" s="27">
        <v>2.0</v>
      </c>
      <c r="M22" s="27">
        <v>17.0</v>
      </c>
      <c r="N22" s="27">
        <v>0.0</v>
      </c>
      <c r="O22" s="27">
        <v>8.75</v>
      </c>
      <c r="P22" s="27">
        <v>0.0</v>
      </c>
      <c r="Q22" s="27">
        <v>35.0</v>
      </c>
      <c r="R22" s="27">
        <v>13.0</v>
      </c>
      <c r="S22" s="27">
        <v>51.0</v>
      </c>
      <c r="T22" s="27">
        <v>0.0</v>
      </c>
      <c r="U22" s="27">
        <v>1.0</v>
      </c>
      <c r="V22" s="27"/>
      <c r="W22" s="27">
        <v>21.5</v>
      </c>
      <c r="X22" s="27">
        <v>7.0</v>
      </c>
      <c r="Y22" s="27">
        <v>16.0</v>
      </c>
      <c r="Z22" s="27">
        <v>37.0</v>
      </c>
      <c r="AA22" s="27">
        <v>17.75</v>
      </c>
      <c r="AB22" s="27">
        <v>0.0</v>
      </c>
      <c r="AC22" s="27"/>
      <c r="AD22" s="27"/>
      <c r="AE22" s="27"/>
      <c r="AF22" s="27"/>
      <c r="AG22" s="23">
        <v>25.0</v>
      </c>
      <c r="AH22" s="23">
        <v>4.666666666666667</v>
      </c>
      <c r="AI22" s="23">
        <v>0.0</v>
      </c>
      <c r="AJ22" s="27">
        <v>9.0</v>
      </c>
      <c r="AK22" s="27">
        <v>41.0</v>
      </c>
      <c r="AL22" s="27">
        <v>10.0</v>
      </c>
      <c r="AM22" s="27">
        <v>22.0</v>
      </c>
      <c r="AN22" s="27">
        <v>5.0</v>
      </c>
      <c r="AO22" s="27">
        <v>9.333333333333334</v>
      </c>
      <c r="AP22" s="27">
        <v>22.0</v>
      </c>
      <c r="AQ22" s="27">
        <v>48.0</v>
      </c>
      <c r="AR22" s="27">
        <v>22.0</v>
      </c>
      <c r="AS22" s="27">
        <v>20.0</v>
      </c>
      <c r="AT22" s="27">
        <v>28.0</v>
      </c>
      <c r="AU22" s="27">
        <v>0.0</v>
      </c>
      <c r="AV22" s="27">
        <v>9.0</v>
      </c>
      <c r="AW22" s="27">
        <v>0.0</v>
      </c>
      <c r="AX22" s="27"/>
      <c r="AY22" s="27"/>
      <c r="AZ22" s="27">
        <v>23.75</v>
      </c>
      <c r="BA22" s="27">
        <v>17.0</v>
      </c>
      <c r="BB22" s="27"/>
      <c r="BC22" s="27">
        <v>5.0</v>
      </c>
      <c r="BD22" s="27">
        <v>0.0</v>
      </c>
      <c r="BE22" s="27">
        <v>0.0</v>
      </c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</row>
    <row r="23" ht="15.75" customHeight="1">
      <c r="A23" s="27">
        <v>180.0</v>
      </c>
      <c r="B23" s="27">
        <f t="shared" si="1"/>
        <v>16.45</v>
      </c>
      <c r="C23" s="27">
        <f t="shared" si="2"/>
        <v>15.18181818</v>
      </c>
      <c r="D23" s="27">
        <f t="shared" si="3"/>
        <v>3.855259565</v>
      </c>
      <c r="E23" s="27">
        <f t="shared" si="4"/>
        <v>3.080195336</v>
      </c>
      <c r="F23" s="27"/>
      <c r="G23" s="27">
        <v>30.0</v>
      </c>
      <c r="H23" s="27">
        <v>45.5</v>
      </c>
      <c r="I23" s="27">
        <v>1.0</v>
      </c>
      <c r="J23" s="27">
        <v>28.5</v>
      </c>
      <c r="K23" s="27">
        <v>4.0</v>
      </c>
      <c r="L23" s="27">
        <v>4.0</v>
      </c>
      <c r="M23" s="27">
        <v>17.0</v>
      </c>
      <c r="N23" s="27">
        <v>0.0</v>
      </c>
      <c r="O23" s="27">
        <v>11.5</v>
      </c>
      <c r="P23" s="27">
        <v>0.0</v>
      </c>
      <c r="Q23" s="27">
        <v>37.0</v>
      </c>
      <c r="R23" s="27">
        <v>18.0</v>
      </c>
      <c r="S23" s="27">
        <v>61.0</v>
      </c>
      <c r="T23" s="27">
        <v>0.0</v>
      </c>
      <c r="U23" s="27">
        <v>4.0</v>
      </c>
      <c r="V23" s="27"/>
      <c r="W23" s="27">
        <v>23.0</v>
      </c>
      <c r="X23" s="27">
        <v>4.0</v>
      </c>
      <c r="Y23" s="27">
        <v>16.5</v>
      </c>
      <c r="Z23" s="27"/>
      <c r="AA23" s="27">
        <v>24.0</v>
      </c>
      <c r="AB23" s="27">
        <v>0.0</v>
      </c>
      <c r="AC23" s="27"/>
      <c r="AD23" s="27"/>
      <c r="AE23" s="27"/>
      <c r="AF23" s="27"/>
      <c r="AG23" s="23">
        <v>22.0</v>
      </c>
      <c r="AH23" s="23">
        <v>0.0</v>
      </c>
      <c r="AI23" s="23">
        <v>0.0</v>
      </c>
      <c r="AJ23" s="27">
        <v>11.0</v>
      </c>
      <c r="AK23" s="27">
        <v>44.0</v>
      </c>
      <c r="AL23" s="27">
        <v>13.0</v>
      </c>
      <c r="AM23" s="27">
        <v>27.0</v>
      </c>
      <c r="AN23" s="27">
        <v>4.0</v>
      </c>
      <c r="AO23" s="27">
        <v>8.0</v>
      </c>
      <c r="AP23" s="27">
        <v>26.0</v>
      </c>
      <c r="AQ23" s="27">
        <v>48.5</v>
      </c>
      <c r="AR23" s="27">
        <v>21.0</v>
      </c>
      <c r="AS23" s="27">
        <v>27.0</v>
      </c>
      <c r="AT23" s="27">
        <v>29.0</v>
      </c>
      <c r="AU23" s="27">
        <v>0.0</v>
      </c>
      <c r="AV23" s="27">
        <v>6.5</v>
      </c>
      <c r="AW23" s="27">
        <v>0.0</v>
      </c>
      <c r="AX23" s="27"/>
      <c r="AY23" s="27"/>
      <c r="AZ23" s="27">
        <v>21.5</v>
      </c>
      <c r="BA23" s="27">
        <v>18.5</v>
      </c>
      <c r="BB23" s="27"/>
      <c r="BC23" s="27">
        <v>7.0</v>
      </c>
      <c r="BD23" s="27">
        <v>0.0</v>
      </c>
      <c r="BE23" s="27">
        <v>0.0</v>
      </c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</row>
    <row r="24" ht="15.75" customHeight="1">
      <c r="A24" s="27">
        <v>190.0</v>
      </c>
      <c r="B24" s="27">
        <f t="shared" si="1"/>
        <v>15.5</v>
      </c>
      <c r="C24" s="27">
        <f t="shared" si="2"/>
        <v>17.06818182</v>
      </c>
      <c r="D24" s="27">
        <f t="shared" si="3"/>
        <v>3.338866022</v>
      </c>
      <c r="E24" s="27">
        <f t="shared" si="4"/>
        <v>3.285472767</v>
      </c>
      <c r="F24" s="27"/>
      <c r="G24" s="27">
        <v>32.0</v>
      </c>
      <c r="H24" s="27">
        <v>45.5</v>
      </c>
      <c r="I24" s="27">
        <v>5.5</v>
      </c>
      <c r="J24" s="27">
        <v>29.5</v>
      </c>
      <c r="K24" s="27">
        <v>5.0</v>
      </c>
      <c r="L24" s="27">
        <v>8.0</v>
      </c>
      <c r="M24" s="27">
        <v>18.0</v>
      </c>
      <c r="N24" s="27">
        <v>0.0</v>
      </c>
      <c r="O24" s="27">
        <v>12.5</v>
      </c>
      <c r="P24" s="27">
        <v>0.0</v>
      </c>
      <c r="Q24" s="27">
        <v>39.0</v>
      </c>
      <c r="R24" s="27">
        <v>22.0</v>
      </c>
      <c r="S24" s="27"/>
      <c r="T24" s="27">
        <v>0.0</v>
      </c>
      <c r="U24" s="27">
        <v>2.0</v>
      </c>
      <c r="V24" s="27"/>
      <c r="W24" s="27">
        <v>24.75</v>
      </c>
      <c r="X24" s="27">
        <v>3.5</v>
      </c>
      <c r="Y24" s="27">
        <v>18.0</v>
      </c>
      <c r="Z24" s="27"/>
      <c r="AA24" s="27">
        <v>29.25</v>
      </c>
      <c r="AB24" s="27">
        <v>0.0</v>
      </c>
      <c r="AC24" s="27"/>
      <c r="AD24" s="27"/>
      <c r="AE24" s="27"/>
      <c r="AF24" s="27"/>
      <c r="AG24" s="23">
        <v>28.0</v>
      </c>
      <c r="AH24" s="23">
        <v>2.3333333333333335</v>
      </c>
      <c r="AI24" s="23">
        <v>0.0</v>
      </c>
      <c r="AJ24" s="27">
        <v>14.0</v>
      </c>
      <c r="AK24" s="27">
        <v>50.0</v>
      </c>
      <c r="AL24" s="27">
        <v>13.0</v>
      </c>
      <c r="AM24" s="27">
        <v>27.0</v>
      </c>
      <c r="AN24" s="27">
        <v>5.0</v>
      </c>
      <c r="AO24" s="27">
        <v>12.333333333333334</v>
      </c>
      <c r="AP24" s="27">
        <v>25.0</v>
      </c>
      <c r="AQ24" s="27">
        <v>49.0</v>
      </c>
      <c r="AR24" s="27">
        <v>25.0</v>
      </c>
      <c r="AS24" s="27">
        <v>30.0</v>
      </c>
      <c r="AT24" s="27">
        <v>32.0</v>
      </c>
      <c r="AU24" s="27">
        <v>0.0</v>
      </c>
      <c r="AV24" s="27">
        <v>7.5</v>
      </c>
      <c r="AW24" s="27">
        <v>0.0</v>
      </c>
      <c r="AX24" s="27"/>
      <c r="AY24" s="27"/>
      <c r="AZ24" s="27">
        <v>26.833333333333336</v>
      </c>
      <c r="BA24" s="27">
        <v>20.5</v>
      </c>
      <c r="BB24" s="27"/>
      <c r="BC24" s="27">
        <v>8.0</v>
      </c>
      <c r="BD24" s="27">
        <v>0.0</v>
      </c>
      <c r="BE24" s="27">
        <v>0.0</v>
      </c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</row>
    <row r="25" ht="15.75" customHeight="1">
      <c r="A25" s="27">
        <v>200.0</v>
      </c>
      <c r="B25" s="27">
        <f t="shared" si="1"/>
        <v>16.18421053</v>
      </c>
      <c r="C25" s="27">
        <f t="shared" si="2"/>
        <v>19.00757576</v>
      </c>
      <c r="D25" s="27">
        <f t="shared" si="3"/>
        <v>3.620161729</v>
      </c>
      <c r="E25" s="27">
        <f t="shared" si="4"/>
        <v>3.613804256</v>
      </c>
      <c r="F25" s="27"/>
      <c r="G25" s="27">
        <v>34.0</v>
      </c>
      <c r="H25" s="27">
        <v>50.0</v>
      </c>
      <c r="I25" s="27">
        <v>0.0</v>
      </c>
      <c r="J25" s="27">
        <v>32.0</v>
      </c>
      <c r="K25" s="27">
        <v>6.0</v>
      </c>
      <c r="L25" s="27">
        <v>8.0</v>
      </c>
      <c r="M25" s="27">
        <v>22.0</v>
      </c>
      <c r="N25" s="27">
        <v>0.0</v>
      </c>
      <c r="O25" s="27">
        <v>14.5</v>
      </c>
      <c r="P25" s="27">
        <v>0.0</v>
      </c>
      <c r="Q25" s="27">
        <v>40.0</v>
      </c>
      <c r="R25" s="27">
        <v>20.0</v>
      </c>
      <c r="S25" s="27"/>
      <c r="T25" s="27">
        <v>0.0</v>
      </c>
      <c r="U25" s="27">
        <v>3.0</v>
      </c>
      <c r="V25" s="27"/>
      <c r="W25" s="27">
        <v>25.5</v>
      </c>
      <c r="X25" s="27">
        <v>3.0</v>
      </c>
      <c r="Y25" s="27">
        <v>18.0</v>
      </c>
      <c r="Z25" s="27"/>
      <c r="AA25" s="27">
        <v>31.5</v>
      </c>
      <c r="AB25" s="27">
        <v>0.0</v>
      </c>
      <c r="AC25" s="27"/>
      <c r="AD25" s="27"/>
      <c r="AE25" s="27"/>
      <c r="AF25" s="27"/>
      <c r="AG25" s="23">
        <v>28.0</v>
      </c>
      <c r="AH25" s="23">
        <v>2.6666666666666665</v>
      </c>
      <c r="AI25" s="23">
        <v>2.0</v>
      </c>
      <c r="AJ25" s="27">
        <v>17.0</v>
      </c>
      <c r="AK25" s="27">
        <v>55.0</v>
      </c>
      <c r="AL25" s="27">
        <v>13.5</v>
      </c>
      <c r="AM25" s="27">
        <v>27.5</v>
      </c>
      <c r="AN25" s="27">
        <v>8.0</v>
      </c>
      <c r="AO25" s="27">
        <v>11.0</v>
      </c>
      <c r="AP25" s="27">
        <v>30.0</v>
      </c>
      <c r="AQ25" s="27">
        <v>56.0</v>
      </c>
      <c r="AR25" s="27">
        <v>24.0</v>
      </c>
      <c r="AS25" s="27">
        <v>37.0</v>
      </c>
      <c r="AT25" s="27">
        <v>32.0</v>
      </c>
      <c r="AU25" s="27">
        <v>0.0</v>
      </c>
      <c r="AV25" s="27">
        <v>9.0</v>
      </c>
      <c r="AW25" s="27">
        <v>0.0</v>
      </c>
      <c r="AX25" s="27"/>
      <c r="AY25" s="27"/>
      <c r="AZ25" s="27">
        <v>32.0</v>
      </c>
      <c r="BA25" s="27">
        <v>23.0</v>
      </c>
      <c r="BB25" s="27"/>
      <c r="BC25" s="27">
        <v>10.5</v>
      </c>
      <c r="BD25" s="27">
        <v>0.0</v>
      </c>
      <c r="BE25" s="27">
        <v>0.0</v>
      </c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</row>
    <row r="26" ht="15.75" customHeight="1">
      <c r="A26" s="27">
        <v>210.0</v>
      </c>
      <c r="B26" s="27">
        <f t="shared" si="1"/>
        <v>18.18421053</v>
      </c>
      <c r="C26" s="27">
        <f t="shared" si="2"/>
        <v>20.51893939</v>
      </c>
      <c r="D26" s="27">
        <f t="shared" si="3"/>
        <v>3.730007237</v>
      </c>
      <c r="E26" s="27">
        <f t="shared" si="4"/>
        <v>3.731906534</v>
      </c>
      <c r="F26" s="27"/>
      <c r="G26" s="27">
        <v>34.0</v>
      </c>
      <c r="H26" s="27">
        <v>52.0</v>
      </c>
      <c r="I26" s="27">
        <v>3.0</v>
      </c>
      <c r="J26" s="27">
        <v>35.0</v>
      </c>
      <c r="K26" s="27">
        <v>13.0</v>
      </c>
      <c r="L26" s="27">
        <v>9.0</v>
      </c>
      <c r="M26" s="27">
        <v>28.0</v>
      </c>
      <c r="N26" s="27">
        <v>0.0</v>
      </c>
      <c r="O26" s="27">
        <v>14.5</v>
      </c>
      <c r="P26" s="27">
        <v>2.0</v>
      </c>
      <c r="Q26" s="27">
        <v>42.0</v>
      </c>
      <c r="R26" s="27">
        <v>23.0</v>
      </c>
      <c r="S26" s="27"/>
      <c r="T26" s="27">
        <v>0.0</v>
      </c>
      <c r="U26" s="27">
        <v>4.0</v>
      </c>
      <c r="V26" s="27"/>
      <c r="W26" s="27">
        <v>27.75</v>
      </c>
      <c r="X26" s="27">
        <v>4.0</v>
      </c>
      <c r="Y26" s="27">
        <v>19.0</v>
      </c>
      <c r="Z26" s="27"/>
      <c r="AA26" s="27">
        <v>35.25</v>
      </c>
      <c r="AB26" s="27">
        <v>0.0</v>
      </c>
      <c r="AC26" s="27"/>
      <c r="AD26" s="27"/>
      <c r="AE26" s="27"/>
      <c r="AF26" s="27"/>
      <c r="AG26" s="23">
        <v>31.0</v>
      </c>
      <c r="AH26" s="23">
        <v>8.666666666666666</v>
      </c>
      <c r="AI26" s="23">
        <v>0.0</v>
      </c>
      <c r="AJ26" s="27">
        <v>20.0</v>
      </c>
      <c r="AK26" s="27">
        <v>57.0</v>
      </c>
      <c r="AL26" s="27">
        <v>14.5</v>
      </c>
      <c r="AM26" s="27">
        <v>31.5</v>
      </c>
      <c r="AN26" s="27">
        <v>7.0</v>
      </c>
      <c r="AO26" s="27">
        <v>12.0</v>
      </c>
      <c r="AP26" s="27">
        <v>32.0</v>
      </c>
      <c r="AQ26" s="27">
        <v>59.0</v>
      </c>
      <c r="AR26" s="27">
        <v>28.0</v>
      </c>
      <c r="AS26" s="27">
        <v>33.0</v>
      </c>
      <c r="AT26" s="27">
        <v>33.0</v>
      </c>
      <c r="AU26" s="27">
        <v>0.0</v>
      </c>
      <c r="AV26" s="27">
        <v>12.0</v>
      </c>
      <c r="AW26" s="27">
        <v>0.0</v>
      </c>
      <c r="AX26" s="27"/>
      <c r="AY26" s="27"/>
      <c r="AZ26" s="27">
        <v>34.25</v>
      </c>
      <c r="BA26" s="27">
        <v>26.0</v>
      </c>
      <c r="BB26" s="27"/>
      <c r="BC26" s="27">
        <v>12.5</v>
      </c>
      <c r="BD26" s="27">
        <v>0.0</v>
      </c>
      <c r="BE26" s="27">
        <v>0.0</v>
      </c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ht="15.75" customHeight="1">
      <c r="A27" s="27">
        <v>220.0</v>
      </c>
      <c r="B27" s="27">
        <f t="shared" si="1"/>
        <v>21.5625</v>
      </c>
      <c r="C27" s="27">
        <f t="shared" si="2"/>
        <v>22.62121212</v>
      </c>
      <c r="D27" s="27">
        <f t="shared" si="3"/>
        <v>4.406330486</v>
      </c>
      <c r="E27" s="27">
        <f t="shared" si="4"/>
        <v>3.895076223</v>
      </c>
      <c r="F27" s="27"/>
      <c r="G27" s="27">
        <v>36.0</v>
      </c>
      <c r="H27" s="27">
        <v>51.5</v>
      </c>
      <c r="I27" s="27">
        <v>0.5</v>
      </c>
      <c r="J27" s="27">
        <v>37.5</v>
      </c>
      <c r="K27" s="27">
        <v>13.0</v>
      </c>
      <c r="L27" s="27">
        <v>9.0</v>
      </c>
      <c r="M27" s="27">
        <v>26.0</v>
      </c>
      <c r="N27" s="27">
        <v>0.0</v>
      </c>
      <c r="O27" s="27">
        <v>15.5</v>
      </c>
      <c r="P27" s="27">
        <v>4.0</v>
      </c>
      <c r="Q27" s="27">
        <v>42.0</v>
      </c>
      <c r="R27" s="27">
        <v>24.0</v>
      </c>
      <c r="S27" s="27">
        <v>71.0</v>
      </c>
      <c r="T27" s="27">
        <v>0.0</v>
      </c>
      <c r="U27" s="27">
        <v>6.0</v>
      </c>
      <c r="V27" s="27"/>
      <c r="W27" s="27">
        <v>28.0</v>
      </c>
      <c r="X27" s="27">
        <v>3.5</v>
      </c>
      <c r="Y27" s="27">
        <v>20.0</v>
      </c>
      <c r="Z27" s="27"/>
      <c r="AA27" s="27">
        <v>38.75</v>
      </c>
      <c r="AB27" s="27">
        <v>5.0</v>
      </c>
      <c r="AC27" s="27"/>
      <c r="AD27" s="27"/>
      <c r="AE27" s="27"/>
      <c r="AF27" s="27"/>
      <c r="AG27" s="23">
        <v>33.0</v>
      </c>
      <c r="AH27" s="23">
        <v>17.0</v>
      </c>
      <c r="AI27" s="23">
        <v>3.0</v>
      </c>
      <c r="AJ27" s="27">
        <v>21.0</v>
      </c>
      <c r="AK27" s="27">
        <v>59.0</v>
      </c>
      <c r="AL27" s="27">
        <v>18.5</v>
      </c>
      <c r="AM27" s="27">
        <v>32.0</v>
      </c>
      <c r="AN27" s="27">
        <v>7.0</v>
      </c>
      <c r="AO27" s="27">
        <v>13.0</v>
      </c>
      <c r="AP27" s="27">
        <v>39.0</v>
      </c>
      <c r="AQ27" s="27">
        <v>61.0</v>
      </c>
      <c r="AR27" s="27">
        <v>33.0</v>
      </c>
      <c r="AS27" s="27">
        <v>39.0</v>
      </c>
      <c r="AT27" s="27">
        <v>35.0</v>
      </c>
      <c r="AU27" s="27">
        <v>0.0</v>
      </c>
      <c r="AV27" s="27">
        <v>11.5</v>
      </c>
      <c r="AW27" s="27">
        <v>0.0</v>
      </c>
      <c r="AX27" s="27"/>
      <c r="AY27" s="27"/>
      <c r="AZ27" s="27">
        <v>34.16666666666667</v>
      </c>
      <c r="BA27" s="27">
        <v>29.0</v>
      </c>
      <c r="BB27" s="27"/>
      <c r="BC27" s="27">
        <v>12.5</v>
      </c>
      <c r="BD27" s="27">
        <v>0.0</v>
      </c>
      <c r="BE27" s="27">
        <v>0.0</v>
      </c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</row>
    <row r="28" ht="15.75" customHeight="1">
      <c r="A28" s="27">
        <v>230.0</v>
      </c>
      <c r="B28" s="27">
        <f t="shared" si="1"/>
        <v>24.2125</v>
      </c>
      <c r="C28" s="27">
        <f t="shared" si="2"/>
        <v>23.95454545</v>
      </c>
      <c r="D28" s="27">
        <f t="shared" si="3"/>
        <v>4.616805507</v>
      </c>
      <c r="E28" s="27">
        <f t="shared" si="4"/>
        <v>4.096496905</v>
      </c>
      <c r="F28" s="27"/>
      <c r="G28" s="27">
        <v>39.0</v>
      </c>
      <c r="H28" s="27">
        <v>58.5</v>
      </c>
      <c r="I28" s="27">
        <v>2.5</v>
      </c>
      <c r="J28" s="27">
        <v>39.5</v>
      </c>
      <c r="K28" s="27">
        <v>7.0</v>
      </c>
      <c r="L28" s="27">
        <v>13.0</v>
      </c>
      <c r="M28" s="27">
        <v>34.0</v>
      </c>
      <c r="N28" s="27">
        <v>0.0</v>
      </c>
      <c r="O28" s="27">
        <v>21.25</v>
      </c>
      <c r="P28" s="27">
        <v>6.0</v>
      </c>
      <c r="Q28" s="27">
        <v>45.0</v>
      </c>
      <c r="R28" s="27">
        <v>29.0</v>
      </c>
      <c r="S28" s="27">
        <v>71.0</v>
      </c>
      <c r="T28" s="27">
        <v>3.0</v>
      </c>
      <c r="U28" s="27">
        <v>10.0</v>
      </c>
      <c r="V28" s="27"/>
      <c r="W28" s="27">
        <v>30.5</v>
      </c>
      <c r="X28" s="27">
        <v>4.0</v>
      </c>
      <c r="Y28" s="27">
        <v>21.0</v>
      </c>
      <c r="Z28" s="27"/>
      <c r="AA28" s="27">
        <v>45.0</v>
      </c>
      <c r="AB28" s="27">
        <v>5.0</v>
      </c>
      <c r="AC28" s="27"/>
      <c r="AD28" s="27"/>
      <c r="AE28" s="27"/>
      <c r="AF28" s="27"/>
      <c r="AG28" s="23">
        <v>39.0</v>
      </c>
      <c r="AH28" s="23">
        <v>21.0</v>
      </c>
      <c r="AI28" s="23">
        <v>4.0</v>
      </c>
      <c r="AJ28" s="27">
        <v>22.0</v>
      </c>
      <c r="AK28" s="27">
        <v>63.0</v>
      </c>
      <c r="AL28" s="27">
        <v>19.5</v>
      </c>
      <c r="AM28" s="27">
        <v>33.0</v>
      </c>
      <c r="AN28" s="27">
        <v>6.0</v>
      </c>
      <c r="AO28" s="27">
        <v>15.0</v>
      </c>
      <c r="AP28" s="27">
        <v>40.0</v>
      </c>
      <c r="AQ28" s="27">
        <v>68.5</v>
      </c>
      <c r="AR28" s="27">
        <v>34.0</v>
      </c>
      <c r="AS28" s="27">
        <v>41.0</v>
      </c>
      <c r="AT28" s="27">
        <v>33.0</v>
      </c>
      <c r="AU28" s="27">
        <v>5.0</v>
      </c>
      <c r="AV28" s="27">
        <v>11.5</v>
      </c>
      <c r="AW28" s="27">
        <v>0.0</v>
      </c>
      <c r="AX28" s="27"/>
      <c r="AY28" s="27"/>
      <c r="AZ28" s="27">
        <v>24.0</v>
      </c>
      <c r="BA28" s="27">
        <v>32.0</v>
      </c>
      <c r="BB28" s="27"/>
      <c r="BC28" s="27">
        <v>15.5</v>
      </c>
      <c r="BD28" s="27">
        <v>0.0</v>
      </c>
      <c r="BE28" s="27">
        <v>0.0</v>
      </c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</row>
    <row r="29" ht="15.75" customHeight="1">
      <c r="A29" s="27">
        <v>240.0</v>
      </c>
      <c r="B29" s="27">
        <f t="shared" si="1"/>
        <v>25.775</v>
      </c>
      <c r="C29" s="27">
        <f t="shared" si="2"/>
        <v>25.96969697</v>
      </c>
      <c r="D29" s="27">
        <f t="shared" si="3"/>
        <v>4.753907672</v>
      </c>
      <c r="E29" s="27">
        <f t="shared" si="4"/>
        <v>4.375195129</v>
      </c>
      <c r="F29" s="27"/>
      <c r="G29" s="27">
        <v>38.0</v>
      </c>
      <c r="H29" s="27">
        <v>60.0</v>
      </c>
      <c r="I29" s="27">
        <v>12.0</v>
      </c>
      <c r="J29" s="27">
        <v>41.0</v>
      </c>
      <c r="K29" s="27">
        <v>12.0</v>
      </c>
      <c r="L29" s="27">
        <v>13.0</v>
      </c>
      <c r="M29" s="27">
        <v>37.0</v>
      </c>
      <c r="N29" s="27">
        <v>0.0</v>
      </c>
      <c r="O29" s="27">
        <v>20.5</v>
      </c>
      <c r="P29" s="27">
        <v>6.0</v>
      </c>
      <c r="Q29" s="27">
        <v>47.0</v>
      </c>
      <c r="R29" s="27">
        <v>34.0</v>
      </c>
      <c r="S29" s="27">
        <v>75.0</v>
      </c>
      <c r="T29" s="27">
        <v>0.0</v>
      </c>
      <c r="U29" s="27">
        <v>8.0</v>
      </c>
      <c r="V29" s="27"/>
      <c r="W29" s="27">
        <v>31.25</v>
      </c>
      <c r="X29" s="27">
        <v>3.0</v>
      </c>
      <c r="Y29" s="27">
        <v>22.0</v>
      </c>
      <c r="Z29" s="27"/>
      <c r="AA29" s="27">
        <v>47.75</v>
      </c>
      <c r="AB29" s="27">
        <v>8.0</v>
      </c>
      <c r="AC29" s="27"/>
      <c r="AD29" s="27"/>
      <c r="AE29" s="27"/>
      <c r="AF29" s="27"/>
      <c r="AG29" s="23">
        <v>42.0</v>
      </c>
      <c r="AH29" s="23">
        <v>21.333333333333332</v>
      </c>
      <c r="AI29" s="23">
        <v>7.0</v>
      </c>
      <c r="AJ29" s="27">
        <v>25.0</v>
      </c>
      <c r="AK29" s="27">
        <v>68.0</v>
      </c>
      <c r="AL29" s="27">
        <v>20.5</v>
      </c>
      <c r="AM29" s="27">
        <v>35.5</v>
      </c>
      <c r="AN29" s="27">
        <v>9.0</v>
      </c>
      <c r="AO29" s="27">
        <v>12.0</v>
      </c>
      <c r="AP29" s="27">
        <v>41.0</v>
      </c>
      <c r="AQ29" s="27">
        <v>72.5</v>
      </c>
      <c r="AR29" s="27">
        <v>36.0</v>
      </c>
      <c r="AS29" s="27">
        <v>46.0</v>
      </c>
      <c r="AT29" s="27">
        <v>33.0</v>
      </c>
      <c r="AU29" s="27">
        <v>4.0</v>
      </c>
      <c r="AV29" s="27">
        <v>13.0</v>
      </c>
      <c r="AW29" s="27">
        <v>0.0</v>
      </c>
      <c r="AX29" s="27"/>
      <c r="AY29" s="27"/>
      <c r="AZ29" s="27">
        <v>34.0</v>
      </c>
      <c r="BA29" s="27">
        <v>34.5</v>
      </c>
      <c r="BB29" s="27"/>
      <c r="BC29" s="27">
        <v>17.0</v>
      </c>
      <c r="BD29" s="27">
        <v>0.0</v>
      </c>
      <c r="BE29" s="27">
        <v>0.0</v>
      </c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</row>
    <row r="30" ht="15.75" customHeight="1">
      <c r="A30" s="27">
        <v>250.0</v>
      </c>
      <c r="B30" s="27">
        <f t="shared" si="1"/>
        <v>28.0625</v>
      </c>
      <c r="C30" s="27">
        <f t="shared" si="2"/>
        <v>27.9469697</v>
      </c>
      <c r="D30" s="27">
        <f t="shared" si="3"/>
        <v>4.79644451</v>
      </c>
      <c r="E30" s="27">
        <f t="shared" si="4"/>
        <v>4.682209562</v>
      </c>
      <c r="F30" s="27"/>
      <c r="G30" s="27">
        <v>41.0</v>
      </c>
      <c r="H30" s="27">
        <v>64.5</v>
      </c>
      <c r="I30" s="27">
        <v>8.0</v>
      </c>
      <c r="J30" s="27">
        <v>44.0</v>
      </c>
      <c r="K30" s="27">
        <v>13.0</v>
      </c>
      <c r="L30" s="27">
        <v>16.0</v>
      </c>
      <c r="M30" s="27">
        <v>40.0</v>
      </c>
      <c r="N30" s="27">
        <v>0.0</v>
      </c>
      <c r="O30" s="27">
        <v>21.75</v>
      </c>
      <c r="P30" s="27">
        <v>22.0</v>
      </c>
      <c r="Q30" s="27">
        <v>48.0</v>
      </c>
      <c r="R30" s="27">
        <v>34.0</v>
      </c>
      <c r="S30" s="27">
        <v>78.0</v>
      </c>
      <c r="T30" s="27">
        <v>3.0</v>
      </c>
      <c r="U30" s="27">
        <v>9.0</v>
      </c>
      <c r="V30" s="27"/>
      <c r="W30" s="27">
        <v>32.0</v>
      </c>
      <c r="X30" s="27">
        <v>3.0</v>
      </c>
      <c r="Y30" s="27">
        <v>23.0</v>
      </c>
      <c r="Z30" s="27"/>
      <c r="AA30" s="27">
        <v>48.0</v>
      </c>
      <c r="AB30" s="27">
        <v>13.0</v>
      </c>
      <c r="AC30" s="27"/>
      <c r="AD30" s="27"/>
      <c r="AE30" s="27"/>
      <c r="AF30" s="27"/>
      <c r="AG30" s="23">
        <v>42.0</v>
      </c>
      <c r="AH30" s="23">
        <v>26.333333333333332</v>
      </c>
      <c r="AI30" s="23">
        <v>10.0</v>
      </c>
      <c r="AJ30" s="27">
        <v>23.0</v>
      </c>
      <c r="AK30" s="27">
        <v>73.0</v>
      </c>
      <c r="AL30" s="27">
        <v>21.5</v>
      </c>
      <c r="AM30" s="27">
        <v>37.0</v>
      </c>
      <c r="AN30" s="27">
        <v>9.0</v>
      </c>
      <c r="AO30" s="27">
        <v>16.0</v>
      </c>
      <c r="AP30" s="27">
        <v>49.0</v>
      </c>
      <c r="AQ30" s="27">
        <v>77.0</v>
      </c>
      <c r="AR30" s="27">
        <v>40.0</v>
      </c>
      <c r="AS30" s="27">
        <v>52.0</v>
      </c>
      <c r="AT30" s="27">
        <v>36.0</v>
      </c>
      <c r="AU30" s="27">
        <v>3.0</v>
      </c>
      <c r="AV30" s="27">
        <v>16.0</v>
      </c>
      <c r="AW30" s="27">
        <v>0.0</v>
      </c>
      <c r="AX30" s="27"/>
      <c r="AY30" s="27"/>
      <c r="AZ30" s="27">
        <v>30.5</v>
      </c>
      <c r="BA30" s="27">
        <v>36.0</v>
      </c>
      <c r="BB30" s="27"/>
      <c r="BC30" s="27">
        <v>17.5</v>
      </c>
      <c r="BD30" s="27">
        <v>0.0</v>
      </c>
      <c r="BE30" s="27">
        <v>0.0</v>
      </c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</row>
    <row r="31" ht="15.75" customHeight="1">
      <c r="A31" s="27">
        <v>260.0</v>
      </c>
      <c r="B31" s="27">
        <f t="shared" si="1"/>
        <v>30.61764706</v>
      </c>
      <c r="C31" s="27">
        <f t="shared" si="2"/>
        <v>28.99206349</v>
      </c>
      <c r="D31" s="27">
        <f t="shared" si="3"/>
        <v>5.48955047</v>
      </c>
      <c r="E31" s="27">
        <f t="shared" si="4"/>
        <v>4.91095951</v>
      </c>
      <c r="F31" s="27"/>
      <c r="G31" s="27">
        <v>43.0</v>
      </c>
      <c r="H31" s="27">
        <v>66.0</v>
      </c>
      <c r="I31" s="27">
        <v>11.0</v>
      </c>
      <c r="J31" s="27">
        <v>47.0</v>
      </c>
      <c r="K31" s="27">
        <v>12.0</v>
      </c>
      <c r="L31" s="27">
        <v>19.0</v>
      </c>
      <c r="M31" s="27">
        <v>43.0</v>
      </c>
      <c r="N31" s="27">
        <v>0.0</v>
      </c>
      <c r="O31" s="27">
        <v>25.5</v>
      </c>
      <c r="P31" s="27">
        <v>13.0</v>
      </c>
      <c r="Q31" s="27">
        <v>50.0</v>
      </c>
      <c r="R31" s="27">
        <v>36.0</v>
      </c>
      <c r="S31" s="27">
        <v>76.0</v>
      </c>
      <c r="T31" s="27">
        <v>0.0</v>
      </c>
      <c r="U31" s="27">
        <v>14.0</v>
      </c>
      <c r="V31" s="27"/>
      <c r="W31" s="27"/>
      <c r="X31" s="27"/>
      <c r="Y31" s="27"/>
      <c r="Z31" s="27"/>
      <c r="AA31" s="27">
        <v>49.0</v>
      </c>
      <c r="AB31" s="27">
        <v>16.0</v>
      </c>
      <c r="AC31" s="27"/>
      <c r="AD31" s="27"/>
      <c r="AE31" s="27"/>
      <c r="AF31" s="27"/>
      <c r="AG31" s="23">
        <v>45.0</v>
      </c>
      <c r="AH31" s="23">
        <v>26.333333333333332</v>
      </c>
      <c r="AI31" s="23">
        <v>13.0</v>
      </c>
      <c r="AJ31" s="27">
        <v>19.0</v>
      </c>
      <c r="AK31" s="27">
        <v>75.0</v>
      </c>
      <c r="AL31" s="27">
        <v>26.0</v>
      </c>
      <c r="AM31" s="27">
        <v>40.0</v>
      </c>
      <c r="AN31" s="27">
        <v>12.0</v>
      </c>
      <c r="AO31" s="27">
        <v>21.0</v>
      </c>
      <c r="AP31" s="27">
        <v>46.0</v>
      </c>
      <c r="AQ31" s="27">
        <v>79.0</v>
      </c>
      <c r="AR31" s="27">
        <v>42.0</v>
      </c>
      <c r="AS31" s="27">
        <v>51.0</v>
      </c>
      <c r="AT31" s="27">
        <v>38.0</v>
      </c>
      <c r="AU31" s="27">
        <v>5.0</v>
      </c>
      <c r="AV31" s="27">
        <v>17.5</v>
      </c>
      <c r="AW31" s="27">
        <v>0.0</v>
      </c>
      <c r="AX31" s="27"/>
      <c r="AY31" s="27"/>
      <c r="AZ31" s="27">
        <v>35.0</v>
      </c>
      <c r="BA31" s="27"/>
      <c r="BB31" s="27"/>
      <c r="BC31" s="27">
        <v>18.0</v>
      </c>
      <c r="BD31" s="27">
        <v>0.0</v>
      </c>
      <c r="BE31" s="27">
        <v>0.0</v>
      </c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</row>
    <row r="32" ht="15.75" customHeight="1">
      <c r="A32" s="27">
        <v>270.0</v>
      </c>
      <c r="B32" s="27">
        <f t="shared" si="1"/>
        <v>32.17647059</v>
      </c>
      <c r="C32" s="27">
        <f t="shared" si="2"/>
        <v>31.13636364</v>
      </c>
      <c r="D32" s="27">
        <f t="shared" si="3"/>
        <v>5.671124807</v>
      </c>
      <c r="E32" s="27">
        <f t="shared" si="4"/>
        <v>5.077604066</v>
      </c>
      <c r="F32" s="27"/>
      <c r="G32" s="27">
        <v>45.0</v>
      </c>
      <c r="H32" s="27">
        <v>70.0</v>
      </c>
      <c r="I32" s="27">
        <v>11.5</v>
      </c>
      <c r="J32" s="27">
        <v>49.0</v>
      </c>
      <c r="K32" s="27">
        <v>14.0</v>
      </c>
      <c r="L32" s="27">
        <v>14.0</v>
      </c>
      <c r="M32" s="27">
        <v>43.0</v>
      </c>
      <c r="N32" s="27">
        <v>7.0</v>
      </c>
      <c r="O32" s="27">
        <v>25.5</v>
      </c>
      <c r="P32" s="27">
        <v>15.0</v>
      </c>
      <c r="Q32" s="27">
        <v>51.0</v>
      </c>
      <c r="R32" s="27">
        <v>37.0</v>
      </c>
      <c r="S32" s="27">
        <v>81.0</v>
      </c>
      <c r="T32" s="27">
        <v>4.0</v>
      </c>
      <c r="U32" s="27">
        <v>12.0</v>
      </c>
      <c r="V32" s="27"/>
      <c r="W32" s="27"/>
      <c r="X32" s="27"/>
      <c r="Y32" s="27"/>
      <c r="Z32" s="27"/>
      <c r="AA32" s="27">
        <v>53.0</v>
      </c>
      <c r="AB32" s="27">
        <v>15.0</v>
      </c>
      <c r="AC32" s="27"/>
      <c r="AD32" s="27"/>
      <c r="AE32" s="27"/>
      <c r="AF32" s="27"/>
      <c r="AG32" s="23">
        <v>49.0</v>
      </c>
      <c r="AH32" s="23">
        <v>29.333333333333332</v>
      </c>
      <c r="AI32" s="23">
        <v>14.0</v>
      </c>
      <c r="AJ32" s="27">
        <v>19.0</v>
      </c>
      <c r="AK32" s="27">
        <v>82.0</v>
      </c>
      <c r="AL32" s="27">
        <v>23.5</v>
      </c>
      <c r="AM32" s="27">
        <v>42.0</v>
      </c>
      <c r="AN32" s="27">
        <v>10.0</v>
      </c>
      <c r="AO32" s="27">
        <v>25.666666666666668</v>
      </c>
      <c r="AP32" s="27">
        <v>53.0</v>
      </c>
      <c r="AQ32" s="27">
        <v>80.0</v>
      </c>
      <c r="AR32" s="27">
        <v>44.0</v>
      </c>
      <c r="AS32" s="27">
        <v>53.0</v>
      </c>
      <c r="AT32" s="27">
        <v>34.0</v>
      </c>
      <c r="AU32" s="27">
        <v>3.0</v>
      </c>
      <c r="AV32" s="27">
        <v>17.0</v>
      </c>
      <c r="AW32" s="27">
        <v>0.0</v>
      </c>
      <c r="AX32" s="27"/>
      <c r="AY32" s="27">
        <v>52.0</v>
      </c>
      <c r="AZ32" s="27">
        <v>33.0</v>
      </c>
      <c r="BA32" s="27"/>
      <c r="BB32" s="27"/>
      <c r="BC32" s="27">
        <v>20.5</v>
      </c>
      <c r="BD32" s="27">
        <v>1.0</v>
      </c>
      <c r="BE32" s="27">
        <v>0.0</v>
      </c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</row>
    <row r="33" ht="15.75" customHeight="1">
      <c r="A33" s="27">
        <v>280.0</v>
      </c>
      <c r="B33" s="27">
        <f t="shared" si="1"/>
        <v>33.89705882</v>
      </c>
      <c r="C33" s="27">
        <f t="shared" si="2"/>
        <v>33.53030303</v>
      </c>
      <c r="D33" s="27">
        <f t="shared" si="3"/>
        <v>5.773252968</v>
      </c>
      <c r="E33" s="27">
        <f t="shared" si="4"/>
        <v>5.305410721</v>
      </c>
      <c r="F33" s="27"/>
      <c r="G33" s="27">
        <v>36.0</v>
      </c>
      <c r="H33" s="27">
        <v>74.0</v>
      </c>
      <c r="I33" s="27">
        <v>14.5</v>
      </c>
      <c r="J33" s="27">
        <v>51.5</v>
      </c>
      <c r="K33" s="27">
        <v>17.0</v>
      </c>
      <c r="L33" s="27">
        <v>19.0</v>
      </c>
      <c r="M33" s="27">
        <v>48.0</v>
      </c>
      <c r="N33" s="27">
        <v>6.0</v>
      </c>
      <c r="O33" s="27">
        <v>29.25</v>
      </c>
      <c r="P33" s="27">
        <v>11.0</v>
      </c>
      <c r="Q33" s="27">
        <v>52.0</v>
      </c>
      <c r="R33" s="27">
        <v>39.0</v>
      </c>
      <c r="S33" s="27">
        <v>84.0</v>
      </c>
      <c r="T33" s="27">
        <v>6.0</v>
      </c>
      <c r="U33" s="27">
        <v>16.0</v>
      </c>
      <c r="V33" s="27"/>
      <c r="W33" s="27"/>
      <c r="X33" s="27"/>
      <c r="Y33" s="27"/>
      <c r="Z33" s="27"/>
      <c r="AA33" s="27">
        <v>56.0</v>
      </c>
      <c r="AB33" s="27">
        <v>17.0</v>
      </c>
      <c r="AC33" s="27"/>
      <c r="AD33" s="27"/>
      <c r="AE33" s="27"/>
      <c r="AF33" s="27"/>
      <c r="AG33" s="23">
        <v>52.0</v>
      </c>
      <c r="AH33" s="23">
        <v>36.0</v>
      </c>
      <c r="AI33" s="23">
        <v>15.0</v>
      </c>
      <c r="AJ33" s="27">
        <v>12.0</v>
      </c>
      <c r="AK33" s="27">
        <v>85.0</v>
      </c>
      <c r="AL33" s="27">
        <v>29.0</v>
      </c>
      <c r="AM33" s="27">
        <v>40.0</v>
      </c>
      <c r="AN33" s="27">
        <v>13.0</v>
      </c>
      <c r="AO33" s="27">
        <v>25.666666666666668</v>
      </c>
      <c r="AP33" s="27">
        <v>56.0</v>
      </c>
      <c r="AQ33" s="27">
        <v>85.5</v>
      </c>
      <c r="AR33" s="27">
        <v>46.0</v>
      </c>
      <c r="AS33" s="27">
        <v>56.0</v>
      </c>
      <c r="AT33" s="27">
        <v>40.0</v>
      </c>
      <c r="AU33" s="27">
        <v>6.0</v>
      </c>
      <c r="AV33" s="27">
        <v>22.0</v>
      </c>
      <c r="AW33" s="27">
        <v>0.0</v>
      </c>
      <c r="AX33" s="27"/>
      <c r="AY33" s="27">
        <v>59.0</v>
      </c>
      <c r="AZ33" s="27">
        <v>33.0</v>
      </c>
      <c r="BA33" s="27"/>
      <c r="BB33" s="27"/>
      <c r="BC33" s="27">
        <v>21.5</v>
      </c>
      <c r="BD33" s="27">
        <v>0.0</v>
      </c>
      <c r="BE33" s="27">
        <v>5.0</v>
      </c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</row>
    <row r="34" ht="15.75" customHeight="1">
      <c r="A34" s="27">
        <v>290.0</v>
      </c>
      <c r="B34" s="27">
        <f t="shared" si="1"/>
        <v>37.11764706</v>
      </c>
      <c r="C34" s="27">
        <f t="shared" si="2"/>
        <v>33.8</v>
      </c>
      <c r="D34" s="27">
        <f t="shared" si="3"/>
        <v>5.797998103</v>
      </c>
      <c r="E34" s="27">
        <f t="shared" si="4"/>
        <v>5.844408034</v>
      </c>
      <c r="F34" s="27"/>
      <c r="G34" s="27">
        <v>48.0</v>
      </c>
      <c r="H34" s="27">
        <v>75.0</v>
      </c>
      <c r="I34" s="27">
        <v>21.0</v>
      </c>
      <c r="J34" s="27">
        <v>55.0</v>
      </c>
      <c r="K34" s="27">
        <v>19.0</v>
      </c>
      <c r="L34" s="27">
        <v>16.0</v>
      </c>
      <c r="M34" s="27">
        <v>51.0</v>
      </c>
      <c r="N34" s="27">
        <v>10.0</v>
      </c>
      <c r="O34" s="27">
        <v>33.0</v>
      </c>
      <c r="P34" s="27">
        <v>14.0</v>
      </c>
      <c r="Q34" s="27">
        <v>53.0</v>
      </c>
      <c r="R34" s="27">
        <v>41.0</v>
      </c>
      <c r="S34" s="27">
        <v>86.0</v>
      </c>
      <c r="T34" s="27">
        <v>8.0</v>
      </c>
      <c r="U34" s="27">
        <v>17.0</v>
      </c>
      <c r="V34" s="27"/>
      <c r="W34" s="27"/>
      <c r="X34" s="27"/>
      <c r="Y34" s="27"/>
      <c r="Z34" s="27"/>
      <c r="AA34" s="27">
        <v>62.0</v>
      </c>
      <c r="AB34" s="27">
        <v>22.0</v>
      </c>
      <c r="AC34" s="27"/>
      <c r="AD34" s="27"/>
      <c r="AE34" s="27"/>
      <c r="AF34" s="27"/>
      <c r="AG34" s="23">
        <v>52.0</v>
      </c>
      <c r="AH34" s="23">
        <v>37.0</v>
      </c>
      <c r="AI34" s="23">
        <v>11.0</v>
      </c>
      <c r="AJ34" s="27">
        <v>16.0</v>
      </c>
      <c r="AK34" s="27">
        <v>88.0</v>
      </c>
      <c r="AL34" s="27">
        <v>29.0</v>
      </c>
      <c r="AM34" s="27">
        <v>43.0</v>
      </c>
      <c r="AN34" s="27">
        <v>14.0</v>
      </c>
      <c r="AO34" s="27">
        <v>24.0</v>
      </c>
      <c r="AP34" s="27">
        <v>55.0</v>
      </c>
      <c r="AQ34" s="27">
        <v>90.0</v>
      </c>
      <c r="AR34" s="27">
        <v>51.0</v>
      </c>
      <c r="AS34" s="27">
        <v>61.0</v>
      </c>
      <c r="AT34" s="27">
        <v>39.0</v>
      </c>
      <c r="AU34" s="27">
        <v>7.0</v>
      </c>
      <c r="AV34" s="27">
        <v>22.5</v>
      </c>
      <c r="AW34" s="27">
        <v>4.0</v>
      </c>
      <c r="AX34" s="27"/>
      <c r="AY34" s="27"/>
      <c r="AZ34" s="27"/>
      <c r="BA34" s="27"/>
      <c r="BB34" s="27"/>
      <c r="BC34" s="27">
        <v>23.5</v>
      </c>
      <c r="BD34" s="27">
        <v>0.0</v>
      </c>
      <c r="BE34" s="27">
        <v>9.0</v>
      </c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</row>
    <row r="35" ht="15.75" customHeight="1">
      <c r="A35" s="27">
        <v>300.0</v>
      </c>
      <c r="B35" s="27">
        <f t="shared" si="1"/>
        <v>39.07352941</v>
      </c>
      <c r="C35" s="27">
        <f t="shared" si="2"/>
        <v>36.575</v>
      </c>
      <c r="D35" s="27">
        <f t="shared" si="3"/>
        <v>5.755662362</v>
      </c>
      <c r="E35" s="27">
        <f t="shared" si="4"/>
        <v>5.854403988</v>
      </c>
      <c r="F35" s="27"/>
      <c r="G35" s="27">
        <v>50.0</v>
      </c>
      <c r="H35" s="27">
        <v>79.0</v>
      </c>
      <c r="I35" s="27">
        <v>22.5</v>
      </c>
      <c r="J35" s="27">
        <v>57.0</v>
      </c>
      <c r="K35" s="27">
        <v>19.0</v>
      </c>
      <c r="L35" s="27">
        <v>19.0</v>
      </c>
      <c r="M35" s="27">
        <v>53.0</v>
      </c>
      <c r="N35" s="27">
        <v>19.0</v>
      </c>
      <c r="O35" s="27">
        <v>33.75</v>
      </c>
      <c r="P35" s="27">
        <v>14.0</v>
      </c>
      <c r="Q35" s="27">
        <v>54.0</v>
      </c>
      <c r="R35" s="27">
        <v>44.0</v>
      </c>
      <c r="S35" s="27">
        <v>86.0</v>
      </c>
      <c r="T35" s="27">
        <v>7.0</v>
      </c>
      <c r="U35" s="27">
        <v>20.0</v>
      </c>
      <c r="V35" s="27"/>
      <c r="W35" s="27"/>
      <c r="X35" s="27"/>
      <c r="Y35" s="27"/>
      <c r="Z35" s="27"/>
      <c r="AA35" s="27">
        <v>63.0</v>
      </c>
      <c r="AB35" s="27">
        <v>24.0</v>
      </c>
      <c r="AC35" s="27"/>
      <c r="AD35" s="27"/>
      <c r="AE35" s="27"/>
      <c r="AF35" s="27"/>
      <c r="AG35" s="23">
        <v>55.0</v>
      </c>
      <c r="AH35" s="23">
        <v>34.5</v>
      </c>
      <c r="AI35" s="23">
        <v>14.0</v>
      </c>
      <c r="AJ35" s="27">
        <v>22.0</v>
      </c>
      <c r="AK35" s="27">
        <v>91.0</v>
      </c>
      <c r="AL35" s="27">
        <v>29.5</v>
      </c>
      <c r="AM35" s="27">
        <v>47.5</v>
      </c>
      <c r="AN35" s="27">
        <v>16.0</v>
      </c>
      <c r="AO35" s="27">
        <v>27.0</v>
      </c>
      <c r="AP35" s="27">
        <v>63.0</v>
      </c>
      <c r="AQ35" s="27">
        <v>92.0</v>
      </c>
      <c r="AR35" s="27">
        <v>51.0</v>
      </c>
      <c r="AS35" s="27">
        <v>64.0</v>
      </c>
      <c r="AT35" s="27">
        <v>41.0</v>
      </c>
      <c r="AU35" s="27">
        <v>13.0</v>
      </c>
      <c r="AV35" s="27">
        <v>25.0</v>
      </c>
      <c r="AW35" s="27">
        <v>6.0</v>
      </c>
      <c r="AX35" s="27"/>
      <c r="AY35" s="27"/>
      <c r="AZ35" s="27"/>
      <c r="BA35" s="27"/>
      <c r="BB35" s="27"/>
      <c r="BC35" s="27">
        <v>25.0</v>
      </c>
      <c r="BD35" s="27">
        <v>0.0</v>
      </c>
      <c r="BE35" s="27">
        <v>15.0</v>
      </c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</row>
    <row r="36" ht="15.75" customHeight="1">
      <c r="A36" s="27">
        <v>310.0</v>
      </c>
      <c r="B36" s="27">
        <f t="shared" si="1"/>
        <v>41</v>
      </c>
      <c r="C36" s="27">
        <f t="shared" si="2"/>
        <v>39.72807018</v>
      </c>
      <c r="D36" s="27">
        <f t="shared" si="3"/>
        <v>5.60002626</v>
      </c>
      <c r="E36" s="27">
        <f t="shared" si="4"/>
        <v>5.900933981</v>
      </c>
      <c r="F36" s="27"/>
      <c r="G36" s="27">
        <v>52.0</v>
      </c>
      <c r="H36" s="27">
        <v>77.0</v>
      </c>
      <c r="I36" s="27">
        <v>25.0</v>
      </c>
      <c r="J36" s="27">
        <v>59.0</v>
      </c>
      <c r="K36" s="27">
        <v>23.0</v>
      </c>
      <c r="L36" s="27">
        <v>23.0</v>
      </c>
      <c r="M36" s="27">
        <v>52.0</v>
      </c>
      <c r="N36" s="27">
        <v>21.0</v>
      </c>
      <c r="O36" s="27">
        <v>35.0</v>
      </c>
      <c r="P36" s="27">
        <v>18.0</v>
      </c>
      <c r="Q36" s="27">
        <v>56.0</v>
      </c>
      <c r="R36" s="27">
        <v>47.0</v>
      </c>
      <c r="S36" s="27">
        <v>89.0</v>
      </c>
      <c r="T36" s="27">
        <v>10.0</v>
      </c>
      <c r="U36" s="27">
        <v>20.0</v>
      </c>
      <c r="V36" s="27"/>
      <c r="W36" s="27"/>
      <c r="X36" s="27"/>
      <c r="Y36" s="27"/>
      <c r="Z36" s="27"/>
      <c r="AA36" s="27">
        <v>65.0</v>
      </c>
      <c r="AB36" s="27">
        <v>25.0</v>
      </c>
      <c r="AC36" s="27"/>
      <c r="AD36" s="27"/>
      <c r="AE36" s="27"/>
      <c r="AF36" s="27"/>
      <c r="AG36" s="23">
        <v>57.0</v>
      </c>
      <c r="AH36" s="23">
        <v>37.5</v>
      </c>
      <c r="AI36" s="23">
        <v>12.0</v>
      </c>
      <c r="AJ36" s="27">
        <v>27.0</v>
      </c>
      <c r="AK36" s="27">
        <v>94.0</v>
      </c>
      <c r="AL36" s="27">
        <v>29.5</v>
      </c>
      <c r="AM36" s="27">
        <v>49.0</v>
      </c>
      <c r="AN36" s="27">
        <v>16.0</v>
      </c>
      <c r="AO36" s="27">
        <v>27.333333333333332</v>
      </c>
      <c r="AP36" s="27">
        <v>64.0</v>
      </c>
      <c r="AQ36" s="27">
        <v>95.0</v>
      </c>
      <c r="AR36" s="27">
        <v>52.0</v>
      </c>
      <c r="AS36" s="27">
        <v>64.0</v>
      </c>
      <c r="AT36" s="27">
        <v>35.0</v>
      </c>
      <c r="AU36" s="27">
        <v>19.0</v>
      </c>
      <c r="AV36" s="27">
        <v>26.0</v>
      </c>
      <c r="AW36" s="27">
        <v>5.0</v>
      </c>
      <c r="AX36" s="27"/>
      <c r="AY36" s="27"/>
      <c r="AZ36" s="27"/>
      <c r="BA36" s="27"/>
      <c r="BB36" s="27"/>
      <c r="BC36" s="27">
        <v>25.5</v>
      </c>
      <c r="BD36" s="27"/>
      <c r="BE36" s="27">
        <v>20.0</v>
      </c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</row>
    <row r="37" ht="15.75" customHeight="1">
      <c r="A37" s="27">
        <v>320.0</v>
      </c>
      <c r="B37" s="27">
        <f t="shared" si="1"/>
        <v>43.47058824</v>
      </c>
      <c r="C37" s="27">
        <f t="shared" si="2"/>
        <v>39.79166667</v>
      </c>
      <c r="D37" s="27">
        <f t="shared" si="3"/>
        <v>5.850067651</v>
      </c>
      <c r="E37" s="27">
        <f t="shared" si="4"/>
        <v>6.039379482</v>
      </c>
      <c r="F37" s="27"/>
      <c r="G37" s="27">
        <v>54.0</v>
      </c>
      <c r="H37" s="27">
        <v>84.0</v>
      </c>
      <c r="I37" s="27">
        <v>33.5</v>
      </c>
      <c r="J37" s="27">
        <v>62.0</v>
      </c>
      <c r="K37" s="27">
        <v>23.0</v>
      </c>
      <c r="L37" s="27">
        <v>24.0</v>
      </c>
      <c r="M37" s="27">
        <v>58.0</v>
      </c>
      <c r="N37" s="27">
        <v>18.0</v>
      </c>
      <c r="O37" s="27">
        <v>38.5</v>
      </c>
      <c r="P37" s="27">
        <v>22.0</v>
      </c>
      <c r="Q37" s="27">
        <v>59.0</v>
      </c>
      <c r="R37" s="27">
        <v>48.0</v>
      </c>
      <c r="S37" s="27">
        <v>91.0</v>
      </c>
      <c r="T37" s="27">
        <v>11.0</v>
      </c>
      <c r="U37" s="27">
        <v>22.0</v>
      </c>
      <c r="V37" s="27"/>
      <c r="W37" s="27"/>
      <c r="X37" s="27"/>
      <c r="Y37" s="27"/>
      <c r="Z37" s="27"/>
      <c r="AA37" s="27">
        <v>67.0</v>
      </c>
      <c r="AB37" s="27">
        <v>24.0</v>
      </c>
      <c r="AC37" s="27"/>
      <c r="AD37" s="27"/>
      <c r="AE37" s="27"/>
      <c r="AF37" s="27"/>
      <c r="AG37" s="23">
        <v>60.0</v>
      </c>
      <c r="AH37" s="23">
        <v>36.0</v>
      </c>
      <c r="AI37" s="23">
        <v>24.0</v>
      </c>
      <c r="AJ37" s="27">
        <v>23.0</v>
      </c>
      <c r="AK37" s="27">
        <v>98.0</v>
      </c>
      <c r="AL37" s="27">
        <v>32.0</v>
      </c>
      <c r="AM37" s="27">
        <v>51.0</v>
      </c>
      <c r="AN37" s="27">
        <v>15.0</v>
      </c>
      <c r="AO37" s="27">
        <v>29.333333333333332</v>
      </c>
      <c r="AP37" s="27">
        <v>68.0</v>
      </c>
      <c r="AQ37" s="27">
        <v>97.5</v>
      </c>
      <c r="AR37" s="27">
        <v>53.0</v>
      </c>
      <c r="AS37" s="27">
        <v>66.0</v>
      </c>
      <c r="AT37" s="27">
        <v>39.0</v>
      </c>
      <c r="AU37" s="27">
        <v>19.0</v>
      </c>
      <c r="AV37" s="27">
        <v>27.0</v>
      </c>
      <c r="AW37" s="27">
        <v>9.0</v>
      </c>
      <c r="AX37" s="27"/>
      <c r="AY37" s="27"/>
      <c r="AZ37" s="27"/>
      <c r="BA37" s="27"/>
      <c r="BB37" s="27"/>
      <c r="BC37" s="27">
        <v>28.0</v>
      </c>
      <c r="BD37" s="27">
        <v>0.0</v>
      </c>
      <c r="BE37" s="27">
        <v>21.0</v>
      </c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</row>
    <row r="38" ht="15.75" customHeight="1">
      <c r="A38" s="27">
        <v>330.0</v>
      </c>
      <c r="B38" s="27">
        <f t="shared" si="1"/>
        <v>45.51470588</v>
      </c>
      <c r="C38" s="27">
        <f t="shared" si="2"/>
        <v>41.44736842</v>
      </c>
      <c r="D38" s="27">
        <f t="shared" si="3"/>
        <v>5.776969623</v>
      </c>
      <c r="E38" s="27">
        <f t="shared" si="4"/>
        <v>6.50246183</v>
      </c>
      <c r="F38" s="27"/>
      <c r="G38" s="27">
        <v>54.0</v>
      </c>
      <c r="H38" s="27">
        <v>85.0</v>
      </c>
      <c r="I38" s="27">
        <v>36.0</v>
      </c>
      <c r="J38" s="27">
        <v>67.0</v>
      </c>
      <c r="K38" s="27">
        <v>29.0</v>
      </c>
      <c r="L38" s="27">
        <v>26.0</v>
      </c>
      <c r="M38" s="27">
        <v>59.0</v>
      </c>
      <c r="N38" s="27">
        <v>21.0</v>
      </c>
      <c r="O38" s="27">
        <v>38.75</v>
      </c>
      <c r="P38" s="27">
        <v>23.0</v>
      </c>
      <c r="Q38" s="27">
        <v>62.0</v>
      </c>
      <c r="R38" s="27">
        <v>52.0</v>
      </c>
      <c r="S38" s="27">
        <v>91.0</v>
      </c>
      <c r="T38" s="27">
        <v>11.0</v>
      </c>
      <c r="U38" s="27">
        <v>22.0</v>
      </c>
      <c r="V38" s="27"/>
      <c r="W38" s="27"/>
      <c r="X38" s="27"/>
      <c r="Y38" s="27"/>
      <c r="Z38" s="27"/>
      <c r="AA38" s="27">
        <v>68.0</v>
      </c>
      <c r="AB38" s="27">
        <v>29.0</v>
      </c>
      <c r="AC38" s="27"/>
      <c r="AD38" s="27"/>
      <c r="AE38" s="27"/>
      <c r="AF38" s="27"/>
      <c r="AG38" s="23">
        <v>60.0</v>
      </c>
      <c r="AH38" s="23">
        <v>39.0</v>
      </c>
      <c r="AI38" s="23">
        <v>21.0</v>
      </c>
      <c r="AJ38" s="27">
        <v>31.0</v>
      </c>
      <c r="AK38" s="27">
        <v>101.0</v>
      </c>
      <c r="AL38" s="27">
        <v>33.5</v>
      </c>
      <c r="AM38" s="27">
        <v>53.5</v>
      </c>
      <c r="AN38" s="27">
        <v>17.0</v>
      </c>
      <c r="AO38" s="27">
        <v>32.5</v>
      </c>
      <c r="AP38" s="27">
        <v>71.0</v>
      </c>
      <c r="AQ38" s="27">
        <v>99.5</v>
      </c>
      <c r="AR38" s="27">
        <v>52.0</v>
      </c>
      <c r="AS38" s="27">
        <v>69.0</v>
      </c>
      <c r="AT38" s="27"/>
      <c r="AU38" s="27">
        <v>17.0</v>
      </c>
      <c r="AV38" s="27">
        <v>29.5</v>
      </c>
      <c r="AW38" s="27">
        <v>8.0</v>
      </c>
      <c r="AX38" s="27"/>
      <c r="AY38" s="27"/>
      <c r="AZ38" s="27"/>
      <c r="BA38" s="27"/>
      <c r="BB38" s="27"/>
      <c r="BC38" s="27">
        <v>29.0</v>
      </c>
      <c r="BD38" s="27">
        <v>0.0</v>
      </c>
      <c r="BE38" s="27">
        <v>24.0</v>
      </c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</row>
    <row r="39" ht="15.75" customHeight="1">
      <c r="A39" s="27">
        <v>340.0</v>
      </c>
      <c r="B39" s="27">
        <f t="shared" si="1"/>
        <v>45.5625</v>
      </c>
      <c r="C39" s="27">
        <f t="shared" si="2"/>
        <v>44.025</v>
      </c>
      <c r="D39" s="27">
        <f t="shared" si="3"/>
        <v>6.332600012</v>
      </c>
      <c r="E39" s="27">
        <f t="shared" si="4"/>
        <v>6.104706206</v>
      </c>
      <c r="F39" s="27"/>
      <c r="G39" s="27">
        <v>58.0</v>
      </c>
      <c r="H39" s="27">
        <v>90.0</v>
      </c>
      <c r="I39" s="27">
        <v>30.5</v>
      </c>
      <c r="J39" s="27"/>
      <c r="K39" s="27">
        <v>32.0</v>
      </c>
      <c r="L39" s="27">
        <v>28.0</v>
      </c>
      <c r="M39" s="27">
        <v>60.0</v>
      </c>
      <c r="N39" s="27">
        <v>23.0</v>
      </c>
      <c r="O39" s="27">
        <v>39.5</v>
      </c>
      <c r="P39" s="27">
        <v>21.0</v>
      </c>
      <c r="Q39" s="27">
        <v>64.0</v>
      </c>
      <c r="R39" s="27">
        <v>55.0</v>
      </c>
      <c r="S39" s="27">
        <v>94.0</v>
      </c>
      <c r="T39" s="27">
        <v>10.0</v>
      </c>
      <c r="U39" s="27">
        <v>25.0</v>
      </c>
      <c r="V39" s="27"/>
      <c r="W39" s="27"/>
      <c r="X39" s="27"/>
      <c r="Y39" s="27"/>
      <c r="Z39" s="27"/>
      <c r="AA39" s="27">
        <v>71.0</v>
      </c>
      <c r="AB39" s="27">
        <v>28.0</v>
      </c>
      <c r="AC39" s="27"/>
      <c r="AD39" s="27"/>
      <c r="AE39" s="27"/>
      <c r="AF39" s="27"/>
      <c r="AG39" s="23">
        <v>64.0</v>
      </c>
      <c r="AH39" s="23">
        <v>40.333333333333336</v>
      </c>
      <c r="AI39" s="23">
        <v>17.0</v>
      </c>
      <c r="AJ39" s="27">
        <v>35.0</v>
      </c>
      <c r="AK39" s="27">
        <v>104.0</v>
      </c>
      <c r="AL39" s="27">
        <v>35.5</v>
      </c>
      <c r="AM39" s="27">
        <v>54.5</v>
      </c>
      <c r="AN39" s="27">
        <v>17.0</v>
      </c>
      <c r="AO39" s="27">
        <v>35.666666666666664</v>
      </c>
      <c r="AP39" s="27">
        <v>73.0</v>
      </c>
      <c r="AQ39" s="27">
        <v>103.0</v>
      </c>
      <c r="AR39" s="27">
        <v>53.0</v>
      </c>
      <c r="AS39" s="27">
        <v>73.0</v>
      </c>
      <c r="AT39" s="27">
        <v>38.0</v>
      </c>
      <c r="AU39" s="27">
        <v>14.0</v>
      </c>
      <c r="AV39" s="27">
        <v>34.5</v>
      </c>
      <c r="AW39" s="27">
        <v>11.0</v>
      </c>
      <c r="AX39" s="27"/>
      <c r="AY39" s="27"/>
      <c r="AZ39" s="27"/>
      <c r="BA39" s="27"/>
      <c r="BB39" s="27"/>
      <c r="BC39" s="27">
        <v>30.0</v>
      </c>
      <c r="BD39" s="27">
        <v>23.0</v>
      </c>
      <c r="BE39" s="27">
        <v>25.0</v>
      </c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</row>
    <row r="40" ht="15.75" customHeight="1">
      <c r="A40" s="27">
        <v>350.0</v>
      </c>
      <c r="B40" s="27">
        <f t="shared" si="1"/>
        <v>42.01785714</v>
      </c>
      <c r="C40" s="27">
        <f t="shared" si="2"/>
        <v>44.70833333</v>
      </c>
      <c r="D40" s="27">
        <f t="shared" si="3"/>
        <v>5.96362971</v>
      </c>
      <c r="E40" s="27">
        <f t="shared" si="4"/>
        <v>6.650285521</v>
      </c>
      <c r="F40" s="27"/>
      <c r="G40" s="27">
        <v>60.0</v>
      </c>
      <c r="H40" s="27">
        <v>93.0</v>
      </c>
      <c r="I40" s="27">
        <v>32.5</v>
      </c>
      <c r="J40" s="27"/>
      <c r="K40" s="27">
        <v>30.0</v>
      </c>
      <c r="L40" s="27">
        <v>32.0</v>
      </c>
      <c r="M40" s="27">
        <v>63.0</v>
      </c>
      <c r="N40" s="27">
        <v>21.0</v>
      </c>
      <c r="O40" s="27">
        <v>40.75</v>
      </c>
      <c r="P40" s="27">
        <v>26.0</v>
      </c>
      <c r="Q40" s="27">
        <v>65.0</v>
      </c>
      <c r="R40" s="27">
        <v>56.0</v>
      </c>
      <c r="S40" s="27"/>
      <c r="T40" s="27">
        <v>10.0</v>
      </c>
      <c r="U40" s="27">
        <v>27.0</v>
      </c>
      <c r="V40" s="27"/>
      <c r="W40" s="27"/>
      <c r="X40" s="27"/>
      <c r="Y40" s="27"/>
      <c r="Z40" s="27"/>
      <c r="AA40" s="27"/>
      <c r="AB40" s="27">
        <v>32.0</v>
      </c>
      <c r="AC40" s="27"/>
      <c r="AD40" s="27"/>
      <c r="AE40" s="27"/>
      <c r="AF40" s="27"/>
      <c r="AG40" s="23">
        <v>66.0</v>
      </c>
      <c r="AH40" s="23">
        <v>42.666666666666664</v>
      </c>
      <c r="AI40" s="23">
        <v>20.0</v>
      </c>
      <c r="AJ40" s="27">
        <v>33.0</v>
      </c>
      <c r="AK40" s="27">
        <v>109.0</v>
      </c>
      <c r="AL40" s="27">
        <v>39.0</v>
      </c>
      <c r="AM40" s="27">
        <v>58.0</v>
      </c>
      <c r="AN40" s="27">
        <v>18.0</v>
      </c>
      <c r="AO40" s="27">
        <v>39.5</v>
      </c>
      <c r="AP40" s="27">
        <v>78.0</v>
      </c>
      <c r="AQ40" s="27">
        <v>107.0</v>
      </c>
      <c r="AR40" s="27">
        <v>47.0</v>
      </c>
      <c r="AS40" s="27">
        <v>76.0</v>
      </c>
      <c r="AT40" s="27">
        <v>42.0</v>
      </c>
      <c r="AU40" s="27">
        <v>19.0</v>
      </c>
      <c r="AV40" s="27">
        <v>36.0</v>
      </c>
      <c r="AW40" s="27">
        <v>12.0</v>
      </c>
      <c r="AX40" s="27"/>
      <c r="AY40" s="27"/>
      <c r="AZ40" s="27"/>
      <c r="BA40" s="27"/>
      <c r="BB40" s="27"/>
      <c r="BC40" s="27">
        <v>30.0</v>
      </c>
      <c r="BD40" s="27">
        <v>0.0</v>
      </c>
      <c r="BE40" s="27">
        <v>22.0</v>
      </c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</row>
    <row r="41" ht="15.75" customHeight="1">
      <c r="A41" s="27">
        <v>360.0</v>
      </c>
      <c r="B41" s="27">
        <f t="shared" si="1"/>
        <v>43.51785714</v>
      </c>
      <c r="C41" s="27">
        <f t="shared" si="2"/>
        <v>47.43859649</v>
      </c>
      <c r="D41" s="27">
        <f t="shared" si="3"/>
        <v>5.96742901</v>
      </c>
      <c r="E41" s="27">
        <f t="shared" si="4"/>
        <v>6.895478957</v>
      </c>
      <c r="F41" s="27"/>
      <c r="G41" s="27">
        <v>62.0</v>
      </c>
      <c r="H41" s="27">
        <v>94.0</v>
      </c>
      <c r="I41" s="27">
        <v>32.5</v>
      </c>
      <c r="J41" s="27"/>
      <c r="K41" s="27">
        <v>35.0</v>
      </c>
      <c r="L41" s="27">
        <v>33.0</v>
      </c>
      <c r="M41" s="27">
        <v>63.0</v>
      </c>
      <c r="N41" s="27">
        <v>18.0</v>
      </c>
      <c r="O41" s="27">
        <v>41.75</v>
      </c>
      <c r="P41" s="27">
        <v>28.0</v>
      </c>
      <c r="Q41" s="27">
        <v>68.0</v>
      </c>
      <c r="R41" s="27">
        <v>58.0</v>
      </c>
      <c r="S41" s="27"/>
      <c r="T41" s="27">
        <v>14.0</v>
      </c>
      <c r="U41" s="27">
        <v>28.0</v>
      </c>
      <c r="V41" s="27"/>
      <c r="W41" s="27"/>
      <c r="X41" s="27"/>
      <c r="Y41" s="27"/>
      <c r="Z41" s="27"/>
      <c r="AA41" s="27"/>
      <c r="AB41" s="27">
        <v>34.0</v>
      </c>
      <c r="AC41" s="27"/>
      <c r="AD41" s="27"/>
      <c r="AE41" s="27"/>
      <c r="AF41" s="27"/>
      <c r="AG41" s="23">
        <v>68.0</v>
      </c>
      <c r="AH41" s="23">
        <v>49.0</v>
      </c>
      <c r="AI41" s="23">
        <v>24.0</v>
      </c>
      <c r="AJ41" s="27">
        <v>38.0</v>
      </c>
      <c r="AK41" s="27">
        <v>111.0</v>
      </c>
      <c r="AL41" s="27">
        <v>39.5</v>
      </c>
      <c r="AM41" s="27">
        <v>60.0</v>
      </c>
      <c r="AN41" s="27">
        <v>18.0</v>
      </c>
      <c r="AO41" s="27">
        <v>37.333333333333336</v>
      </c>
      <c r="AP41" s="27">
        <v>80.0</v>
      </c>
      <c r="AQ41" s="27">
        <v>111.5</v>
      </c>
      <c r="AR41" s="27">
        <v>34.0</v>
      </c>
      <c r="AS41" s="27">
        <v>82.0</v>
      </c>
      <c r="AT41" s="27"/>
      <c r="AU41" s="27">
        <v>22.0</v>
      </c>
      <c r="AV41" s="27">
        <v>37.0</v>
      </c>
      <c r="AW41" s="27">
        <v>14.0</v>
      </c>
      <c r="AX41" s="27"/>
      <c r="AY41" s="27"/>
      <c r="AZ41" s="27"/>
      <c r="BA41" s="27"/>
      <c r="BB41" s="27"/>
      <c r="BC41" s="27">
        <v>31.0</v>
      </c>
      <c r="BD41" s="27">
        <v>18.0</v>
      </c>
      <c r="BE41" s="27">
        <v>27.0</v>
      </c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</row>
    <row r="42" ht="15.75" customHeight="1">
      <c r="A42" s="27">
        <v>370.0</v>
      </c>
      <c r="B42" s="27">
        <f t="shared" si="1"/>
        <v>48.76666667</v>
      </c>
      <c r="C42" s="27">
        <f t="shared" si="2"/>
        <v>47.70833333</v>
      </c>
      <c r="D42" s="27">
        <f t="shared" si="3"/>
        <v>6.776511721</v>
      </c>
      <c r="E42" s="27">
        <f t="shared" si="4"/>
        <v>6.877211234</v>
      </c>
      <c r="F42" s="27"/>
      <c r="G42" s="27">
        <v>65.0</v>
      </c>
      <c r="H42" s="27">
        <v>95.0</v>
      </c>
      <c r="I42" s="27">
        <v>31.0</v>
      </c>
      <c r="J42" s="27"/>
      <c r="K42" s="27">
        <v>38.0</v>
      </c>
      <c r="L42" s="27">
        <v>33.0</v>
      </c>
      <c r="M42" s="27">
        <v>63.0</v>
      </c>
      <c r="N42" s="27">
        <v>16.0</v>
      </c>
      <c r="O42" s="27">
        <v>43.5</v>
      </c>
      <c r="P42" s="27">
        <v>31.0</v>
      </c>
      <c r="Q42" s="27">
        <v>71.0</v>
      </c>
      <c r="R42" s="27">
        <v>60.0</v>
      </c>
      <c r="S42" s="27">
        <v>102.0</v>
      </c>
      <c r="T42" s="27">
        <v>18.0</v>
      </c>
      <c r="U42" s="27">
        <v>30.0</v>
      </c>
      <c r="V42" s="27"/>
      <c r="W42" s="27"/>
      <c r="X42" s="27"/>
      <c r="Y42" s="27"/>
      <c r="Z42" s="27"/>
      <c r="AA42" s="27"/>
      <c r="AB42" s="27">
        <v>35.0</v>
      </c>
      <c r="AC42" s="27"/>
      <c r="AD42" s="27"/>
      <c r="AE42" s="27"/>
      <c r="AF42" s="27"/>
      <c r="AG42" s="23">
        <v>75.0</v>
      </c>
      <c r="AH42" s="23">
        <v>49.5</v>
      </c>
      <c r="AI42" s="23">
        <v>19.0</v>
      </c>
      <c r="AJ42" s="27">
        <v>43.0</v>
      </c>
      <c r="AK42" s="27">
        <v>113.0</v>
      </c>
      <c r="AL42" s="27">
        <v>40.5</v>
      </c>
      <c r="AM42" s="27">
        <v>61.0</v>
      </c>
      <c r="AN42" s="27">
        <v>19.0</v>
      </c>
      <c r="AO42" s="27">
        <v>39.666666666666664</v>
      </c>
      <c r="AP42" s="27">
        <v>80.0</v>
      </c>
      <c r="AQ42" s="27">
        <v>114.0</v>
      </c>
      <c r="AR42" s="27">
        <v>12.0</v>
      </c>
      <c r="AS42" s="27">
        <v>83.0</v>
      </c>
      <c r="AT42" s="27">
        <v>47.0</v>
      </c>
      <c r="AU42" s="27">
        <v>20.0</v>
      </c>
      <c r="AV42" s="27">
        <v>38.0</v>
      </c>
      <c r="AW42" s="27">
        <v>18.0</v>
      </c>
      <c r="AX42" s="27"/>
      <c r="AY42" s="27"/>
      <c r="AZ42" s="27"/>
      <c r="BA42" s="27"/>
      <c r="BB42" s="27"/>
      <c r="BC42" s="27">
        <v>32.5</v>
      </c>
      <c r="BD42" s="27">
        <v>21.0</v>
      </c>
      <c r="BE42" s="27">
        <v>29.0</v>
      </c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</row>
    <row r="43" ht="15.75" customHeight="1">
      <c r="A43" s="27">
        <v>380.0</v>
      </c>
      <c r="B43" s="27">
        <f t="shared" si="1"/>
        <v>51.8</v>
      </c>
      <c r="C43" s="27">
        <f t="shared" si="2"/>
        <v>49.57894737</v>
      </c>
      <c r="D43" s="27">
        <f t="shared" si="3"/>
        <v>6.566291988</v>
      </c>
      <c r="E43" s="27">
        <f t="shared" si="4"/>
        <v>7.32748713</v>
      </c>
      <c r="F43" s="27"/>
      <c r="G43" s="27">
        <v>63.0</v>
      </c>
      <c r="H43" s="27">
        <v>97.0</v>
      </c>
      <c r="I43" s="27">
        <v>35.0</v>
      </c>
      <c r="J43" s="27"/>
      <c r="K43" s="27">
        <v>40.0</v>
      </c>
      <c r="L43" s="27">
        <v>35.0</v>
      </c>
      <c r="M43" s="27">
        <v>70.0</v>
      </c>
      <c r="N43" s="27">
        <v>20.0</v>
      </c>
      <c r="O43" s="27">
        <v>46.0</v>
      </c>
      <c r="P43" s="27">
        <v>41.0</v>
      </c>
      <c r="Q43" s="27">
        <v>72.0</v>
      </c>
      <c r="R43" s="27">
        <v>63.0</v>
      </c>
      <c r="S43" s="27">
        <v>102.0</v>
      </c>
      <c r="T43" s="27">
        <v>18.0</v>
      </c>
      <c r="U43" s="27">
        <v>31.0</v>
      </c>
      <c r="V43" s="27"/>
      <c r="W43" s="27"/>
      <c r="X43" s="27"/>
      <c r="Y43" s="27"/>
      <c r="Z43" s="27"/>
      <c r="AA43" s="27"/>
      <c r="AB43" s="27">
        <v>44.0</v>
      </c>
      <c r="AC43" s="27"/>
      <c r="AD43" s="27"/>
      <c r="AE43" s="27"/>
      <c r="AF43" s="27"/>
      <c r="AG43" s="23">
        <v>76.0</v>
      </c>
      <c r="AH43" s="23">
        <v>50.666666666666664</v>
      </c>
      <c r="AI43" s="23">
        <v>25.0</v>
      </c>
      <c r="AJ43" s="27">
        <v>41.0</v>
      </c>
      <c r="AK43" s="27">
        <v>115.0</v>
      </c>
      <c r="AL43" s="27">
        <v>42.5</v>
      </c>
      <c r="AM43" s="27">
        <v>63.0</v>
      </c>
      <c r="AN43" s="27">
        <v>20.0</v>
      </c>
      <c r="AO43" s="27">
        <v>41.333333333333336</v>
      </c>
      <c r="AP43" s="27">
        <v>83.0</v>
      </c>
      <c r="AQ43" s="27">
        <v>115.5</v>
      </c>
      <c r="AR43" s="27">
        <v>14.0</v>
      </c>
      <c r="AS43" s="27">
        <v>85.0</v>
      </c>
      <c r="AT43" s="27">
        <v>48.0</v>
      </c>
      <c r="AU43" s="27">
        <v>24.0</v>
      </c>
      <c r="AV43" s="27">
        <v>38.0</v>
      </c>
      <c r="AW43" s="27">
        <v>18.0</v>
      </c>
      <c r="AX43" s="27"/>
      <c r="AY43" s="27"/>
      <c r="AZ43" s="27"/>
      <c r="BA43" s="27"/>
      <c r="BB43" s="27"/>
      <c r="BC43" s="27"/>
      <c r="BD43" s="27">
        <v>13.0</v>
      </c>
      <c r="BE43" s="27">
        <v>29.0</v>
      </c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</row>
    <row r="44" ht="15.75" customHeight="1">
      <c r="A44" s="27">
        <v>390.0</v>
      </c>
      <c r="B44" s="27">
        <f t="shared" si="1"/>
        <v>52.78333333</v>
      </c>
      <c r="C44" s="27">
        <f t="shared" si="2"/>
        <v>50.52631579</v>
      </c>
      <c r="D44" s="27">
        <f t="shared" si="3"/>
        <v>6.571894825</v>
      </c>
      <c r="E44" s="27">
        <f t="shared" si="4"/>
        <v>7.23028411</v>
      </c>
      <c r="F44" s="27"/>
      <c r="G44" s="27">
        <v>65.0</v>
      </c>
      <c r="H44" s="27">
        <v>97.0</v>
      </c>
      <c r="I44" s="27">
        <v>36.0</v>
      </c>
      <c r="J44" s="27"/>
      <c r="K44" s="27">
        <v>40.0</v>
      </c>
      <c r="L44" s="27">
        <v>36.0</v>
      </c>
      <c r="M44" s="27">
        <v>70.0</v>
      </c>
      <c r="N44" s="27">
        <v>16.0</v>
      </c>
      <c r="O44" s="27">
        <v>49.75</v>
      </c>
      <c r="P44" s="27">
        <v>38.0</v>
      </c>
      <c r="Q44" s="27">
        <v>74.0</v>
      </c>
      <c r="R44" s="27">
        <v>64.0</v>
      </c>
      <c r="S44" s="27">
        <v>103.0</v>
      </c>
      <c r="T44" s="27">
        <v>23.0</v>
      </c>
      <c r="U44" s="27">
        <v>35.0</v>
      </c>
      <c r="V44" s="27"/>
      <c r="W44" s="27"/>
      <c r="X44" s="27"/>
      <c r="Y44" s="27"/>
      <c r="Z44" s="27"/>
      <c r="AA44" s="27"/>
      <c r="AB44" s="27">
        <v>45.0</v>
      </c>
      <c r="AC44" s="27"/>
      <c r="AD44" s="27"/>
      <c r="AE44" s="27"/>
      <c r="AF44" s="27"/>
      <c r="AG44" s="23">
        <v>78.0</v>
      </c>
      <c r="AH44" s="23">
        <v>49.0</v>
      </c>
      <c r="AI44" s="23">
        <v>23.0</v>
      </c>
      <c r="AJ44" s="27">
        <v>39.0</v>
      </c>
      <c r="AK44" s="27">
        <v>115.0</v>
      </c>
      <c r="AL44" s="27">
        <v>43.5</v>
      </c>
      <c r="AM44" s="27">
        <v>65.5</v>
      </c>
      <c r="AN44" s="27">
        <v>24.0</v>
      </c>
      <c r="AO44" s="27">
        <v>43.0</v>
      </c>
      <c r="AP44" s="27">
        <v>84.0</v>
      </c>
      <c r="AQ44" s="27">
        <v>112.5</v>
      </c>
      <c r="AR44" s="27">
        <v>11.0</v>
      </c>
      <c r="AS44" s="27">
        <v>88.0</v>
      </c>
      <c r="AT44" s="27">
        <v>49.0</v>
      </c>
      <c r="AU44" s="27">
        <v>25.0</v>
      </c>
      <c r="AV44" s="27">
        <v>39.5</v>
      </c>
      <c r="AW44" s="27">
        <v>21.0</v>
      </c>
      <c r="AX44" s="27"/>
      <c r="AY44" s="27"/>
      <c r="AZ44" s="27"/>
      <c r="BA44" s="27"/>
      <c r="BB44" s="27"/>
      <c r="BC44" s="27"/>
      <c r="BD44" s="27">
        <v>16.0</v>
      </c>
      <c r="BE44" s="27">
        <v>34.0</v>
      </c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</row>
    <row r="45" ht="15.75" customHeight="1">
      <c r="A45" s="27">
        <v>400.0</v>
      </c>
      <c r="B45" s="27">
        <f t="shared" si="1"/>
        <v>53.98333333</v>
      </c>
      <c r="C45" s="27">
        <f t="shared" si="2"/>
        <v>53.86111111</v>
      </c>
      <c r="D45" s="27">
        <f t="shared" si="3"/>
        <v>6.921518665</v>
      </c>
      <c r="E45" s="27">
        <f t="shared" si="4"/>
        <v>7.344221591</v>
      </c>
      <c r="F45" s="27"/>
      <c r="G45" s="27">
        <v>68.0</v>
      </c>
      <c r="H45" s="27">
        <v>100.0</v>
      </c>
      <c r="I45" s="27">
        <v>39.0</v>
      </c>
      <c r="J45" s="27"/>
      <c r="K45" s="27">
        <v>42.0</v>
      </c>
      <c r="L45" s="27">
        <v>33.0</v>
      </c>
      <c r="M45" s="27">
        <v>73.0</v>
      </c>
      <c r="N45" s="27">
        <v>22.0</v>
      </c>
      <c r="O45" s="27">
        <v>52.75</v>
      </c>
      <c r="P45" s="27">
        <v>34.0</v>
      </c>
      <c r="Q45" s="27">
        <v>77.0</v>
      </c>
      <c r="R45" s="27">
        <v>66.0</v>
      </c>
      <c r="S45" s="27">
        <v>105.0</v>
      </c>
      <c r="T45" s="27">
        <v>17.0</v>
      </c>
      <c r="U45" s="27">
        <v>32.0</v>
      </c>
      <c r="V45" s="27"/>
      <c r="W45" s="27"/>
      <c r="X45" s="27"/>
      <c r="Y45" s="27"/>
      <c r="Z45" s="27"/>
      <c r="AA45" s="27"/>
      <c r="AB45" s="27">
        <v>49.0</v>
      </c>
      <c r="AC45" s="27"/>
      <c r="AD45" s="27"/>
      <c r="AE45" s="27"/>
      <c r="AF45" s="27"/>
      <c r="AG45" s="23">
        <v>79.0</v>
      </c>
      <c r="AH45" s="23">
        <v>51.0</v>
      </c>
      <c r="AI45" s="23">
        <v>31.0</v>
      </c>
      <c r="AJ45" s="27">
        <v>49.0</v>
      </c>
      <c r="AK45" s="27">
        <v>118.0</v>
      </c>
      <c r="AL45" s="27">
        <v>42.5</v>
      </c>
      <c r="AM45" s="27">
        <v>68.0</v>
      </c>
      <c r="AN45" s="27">
        <v>21.0</v>
      </c>
      <c r="AO45" s="27">
        <v>49.0</v>
      </c>
      <c r="AP45" s="27">
        <v>86.0</v>
      </c>
      <c r="AQ45" s="27">
        <v>109.0</v>
      </c>
      <c r="AR45" s="27">
        <v>10.0</v>
      </c>
      <c r="AS45" s="27">
        <v>88.0</v>
      </c>
      <c r="AT45" s="27">
        <v>50.0</v>
      </c>
      <c r="AU45" s="27">
        <v>23.0</v>
      </c>
      <c r="AV45" s="27">
        <v>40.0</v>
      </c>
      <c r="AW45" s="27">
        <v>22.0</v>
      </c>
      <c r="AX45" s="27"/>
      <c r="AY45" s="27"/>
      <c r="AZ45" s="27"/>
      <c r="BA45" s="27"/>
      <c r="BB45" s="27"/>
      <c r="BC45" s="27"/>
      <c r="BD45" s="27"/>
      <c r="BE45" s="27">
        <v>33.0</v>
      </c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3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3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3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3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3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3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3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3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3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</row>
    <row r="58" ht="15.75" customHeight="1">
      <c r="A58" s="27"/>
      <c r="B58" s="27"/>
      <c r="C58" s="27"/>
      <c r="D58" s="27"/>
      <c r="E58" s="27"/>
      <c r="F58" s="27"/>
      <c r="G58" s="5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 t="s">
        <v>143</v>
      </c>
      <c r="AH58" s="27" t="s">
        <v>215</v>
      </c>
      <c r="AI58" s="27" t="s">
        <v>136</v>
      </c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 t="s">
        <v>216</v>
      </c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 t="s">
        <v>217</v>
      </c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2018-06-20T13:56:38Z</dcterms:created>
  <dc:creator>Elise</dc:creator>
</cp:coreProperties>
</file>